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EMPO AIRE" sheetId="1" r:id="rId5"/>
    <sheet state="visible" name="OP" sheetId="2" r:id="rId6"/>
    <sheet state="visible" name="SALVADOR DEL MUNDO" sheetId="3" r:id="rId7"/>
    <sheet state="visible" name="HEROES" sheetId="4" r:id="rId8"/>
    <sheet state="visible" name="PANAMERICANA" sheetId="5" r:id="rId9"/>
    <sheet state="visible" name="PROCERES" sheetId="6" r:id="rId10"/>
    <sheet state="visible" name="PASEO" sheetId="7" r:id="rId11"/>
    <sheet state="visible" name="JERUSALEN" sheetId="8" r:id="rId12"/>
    <sheet state="visible" name="SAN BENITO" sheetId="9" r:id="rId13"/>
    <sheet state="visible" name="CONSTITUCIÓN" sheetId="10" r:id="rId14"/>
    <sheet state="visible" name="RECORDATORIOS" sheetId="11" r:id="rId15"/>
  </sheets>
  <definedNames/>
  <calcPr/>
</workbook>
</file>

<file path=xl/sharedStrings.xml><?xml version="1.0" encoding="utf-8"?>
<sst xmlns="http://schemas.openxmlformats.org/spreadsheetml/2006/main" count="1178" uniqueCount="416">
  <si>
    <t>SPOTS/HORA</t>
  </si>
  <si>
    <t>INGRESO DE OP</t>
  </si>
  <si>
    <t>PANTALLAS</t>
  </si>
  <si>
    <t xml:space="preserve">on </t>
  </si>
  <si>
    <t>off</t>
  </si>
  <si>
    <t>tiempo on</t>
  </si>
  <si>
    <t>SPOTS ON AIR</t>
  </si>
  <si>
    <t>requerido</t>
  </si>
  <si>
    <t>diferencia</t>
  </si>
  <si>
    <t>MARCA</t>
  </si>
  <si>
    <t>x</t>
  </si>
  <si>
    <t>SALVADOR DEL MUNDO</t>
  </si>
  <si>
    <t>CAMPAÑA</t>
  </si>
  <si>
    <t>INCIO</t>
  </si>
  <si>
    <t>FINAL</t>
  </si>
  <si>
    <t>HEROES</t>
  </si>
  <si>
    <t>PROCE</t>
  </si>
  <si>
    <t>TEMPLATES</t>
  </si>
  <si>
    <t>JUANPA</t>
  </si>
  <si>
    <t>JERUSA</t>
  </si>
  <si>
    <t>PASEO</t>
  </si>
  <si>
    <t>PANAM</t>
  </si>
  <si>
    <t>SDM</t>
  </si>
  <si>
    <t>HEROE</t>
  </si>
  <si>
    <t>BENITO</t>
  </si>
  <si>
    <t>HEROES1_900</t>
  </si>
  <si>
    <t>CONSTI</t>
  </si>
  <si>
    <t>AGRICOLA</t>
  </si>
  <si>
    <t>SDM1_900</t>
  </si>
  <si>
    <t>alianzas (anual)</t>
  </si>
  <si>
    <t>CLIENTE</t>
  </si>
  <si>
    <t>RADIO SHACK</t>
  </si>
  <si>
    <t>MISTER DONUT</t>
  </si>
  <si>
    <t>VIROGRIP</t>
  </si>
  <si>
    <t>varias campañas</t>
  </si>
  <si>
    <t>PREMIUM CENTER</t>
  </si>
  <si>
    <t>antiguo cuscatlan</t>
  </si>
  <si>
    <t xml:space="preserve">INICIO </t>
  </si>
  <si>
    <t>HORAS</t>
  </si>
  <si>
    <t>FERTICA</t>
  </si>
  <si>
    <t>varias</t>
  </si>
  <si>
    <t>REP.</t>
  </si>
  <si>
    <t xml:space="preserve">FINAL </t>
  </si>
  <si>
    <t>MC CORMICK</t>
  </si>
  <si>
    <t>aderesos</t>
  </si>
  <si>
    <t>FREC.</t>
  </si>
  <si>
    <t>especias</t>
  </si>
  <si>
    <t>TIGO</t>
  </si>
  <si>
    <t>HEROES2_450</t>
  </si>
  <si>
    <t>blue week</t>
  </si>
  <si>
    <t>SDM2_450</t>
  </si>
  <si>
    <t>AGRICOLA NUEVA</t>
  </si>
  <si>
    <t>pendiente</t>
  </si>
  <si>
    <t>ARIA</t>
  </si>
  <si>
    <t>campaña precio</t>
  </si>
  <si>
    <t>LA CURACAO</t>
  </si>
  <si>
    <t>EXCEL</t>
  </si>
  <si>
    <t>mitsubishi y fuso</t>
  </si>
  <si>
    <t>NO DISPONIBLE</t>
  </si>
  <si>
    <t>PRISMAMODA</t>
  </si>
  <si>
    <t>CAMPERO</t>
  </si>
  <si>
    <t>camperitos</t>
  </si>
  <si>
    <t>/</t>
  </si>
  <si>
    <t>todo sabor</t>
  </si>
  <si>
    <t>CEL</t>
  </si>
  <si>
    <t>puentes</t>
  </si>
  <si>
    <t>CLARO</t>
  </si>
  <si>
    <t>doble pauta</t>
  </si>
  <si>
    <t>ALPHA</t>
  </si>
  <si>
    <t>inmobiliaria</t>
  </si>
  <si>
    <t>SDM3_300</t>
  </si>
  <si>
    <t>HEROES3_450</t>
  </si>
  <si>
    <t>CAPRI</t>
  </si>
  <si>
    <t xml:space="preserve">navidad </t>
  </si>
  <si>
    <t>DONKEYS</t>
  </si>
  <si>
    <t>AGENCIA CARMA</t>
  </si>
  <si>
    <t>NEQUI</t>
  </si>
  <si>
    <t>BANCO AGRICOLA</t>
  </si>
  <si>
    <t>diciembre</t>
  </si>
  <si>
    <t>OPTICA OMNISPORT</t>
  </si>
  <si>
    <t>NEQUI TARJETA</t>
  </si>
  <si>
    <t>tarjeta joven</t>
  </si>
  <si>
    <t>varios</t>
  </si>
  <si>
    <t>DLC</t>
  </si>
  <si>
    <t>ST JACKS</t>
  </si>
  <si>
    <t>navidad parte 1</t>
  </si>
  <si>
    <t>navidad parte 2</t>
  </si>
  <si>
    <t>SDM4_300</t>
  </si>
  <si>
    <t>HEROES4_450</t>
  </si>
  <si>
    <t>MINSAL</t>
  </si>
  <si>
    <t>DONKEY</t>
  </si>
  <si>
    <t>MAZOLA</t>
  </si>
  <si>
    <t>COOP 1</t>
  </si>
  <si>
    <t>FLYING TIGER COPENHAGEN</t>
  </si>
  <si>
    <t>EPA</t>
  </si>
  <si>
    <t>productos</t>
  </si>
  <si>
    <t>acciones que hablan | independiente</t>
  </si>
  <si>
    <t>banca movil | rincon magico</t>
  </si>
  <si>
    <t>CAMPESTRE</t>
  </si>
  <si>
    <t>anual</t>
  </si>
  <si>
    <t>SDM5_300</t>
  </si>
  <si>
    <t xml:space="preserve">generico </t>
  </si>
  <si>
    <t>HEROES5_450</t>
  </si>
  <si>
    <t>MUCHA CASA</t>
  </si>
  <si>
    <t>TIGO ENTRY NAVI</t>
  </si>
  <si>
    <t>navideña</t>
  </si>
  <si>
    <t>SIMAN</t>
  </si>
  <si>
    <t>varias pantallas</t>
  </si>
  <si>
    <t>SABA</t>
  </si>
  <si>
    <t>CUSCATLAN</t>
  </si>
  <si>
    <t>GRIINFLEX</t>
  </si>
  <si>
    <t>surfer</t>
  </si>
  <si>
    <t>ESTAFA</t>
  </si>
  <si>
    <t>campaña gob</t>
  </si>
  <si>
    <t>SDM6_450</t>
  </si>
  <si>
    <t>MIGRACION</t>
  </si>
  <si>
    <t>HEROES6_450</t>
  </si>
  <si>
    <t>vacaciones fin de año</t>
  </si>
  <si>
    <t>SARITA</t>
  </si>
  <si>
    <t>congelados</t>
  </si>
  <si>
    <t>COOP</t>
  </si>
  <si>
    <t>LNB</t>
  </si>
  <si>
    <t>navidad SDM</t>
  </si>
  <si>
    <t>concierto_futbol_bar</t>
  </si>
  <si>
    <t>heroes diciembre</t>
  </si>
  <si>
    <t>SDM7_450</t>
  </si>
  <si>
    <t>SONY</t>
  </si>
  <si>
    <t>pelicula anaconda</t>
  </si>
  <si>
    <t>BCR</t>
  </si>
  <si>
    <t>tranfer 360</t>
  </si>
  <si>
    <t>PLAZA MUNDO</t>
  </si>
  <si>
    <t>HERO MOTOS</t>
  </si>
  <si>
    <t>MAXBLOCH</t>
  </si>
  <si>
    <t>laboratorio confiable</t>
  </si>
  <si>
    <t>INCAF</t>
  </si>
  <si>
    <t>HEROES7_450</t>
  </si>
  <si>
    <t>TEXACO</t>
  </si>
  <si>
    <t>navidad</t>
  </si>
  <si>
    <t>MINED</t>
  </si>
  <si>
    <t>creativerso</t>
  </si>
  <si>
    <t>FUERZA COLOMBIA</t>
  </si>
  <si>
    <t>SDM8_450</t>
  </si>
  <si>
    <t>MC DONALDS</t>
  </si>
  <si>
    <t>VITO GUARATO</t>
  </si>
  <si>
    <t>donacion navidad</t>
  </si>
  <si>
    <t>PIZZA HUT</t>
  </si>
  <si>
    <t>UFG</t>
  </si>
  <si>
    <t>material generico</t>
  </si>
  <si>
    <t>HEROES8_450</t>
  </si>
  <si>
    <t>STARBUCKS</t>
  </si>
  <si>
    <t>ISSS</t>
  </si>
  <si>
    <t>material fin de año</t>
  </si>
  <si>
    <t>FOSALUD</t>
  </si>
  <si>
    <t>campaña fin de año</t>
  </si>
  <si>
    <t>SDM9_450</t>
  </si>
  <si>
    <t>HEROES9_300</t>
  </si>
  <si>
    <t>ALT KEY</t>
  </si>
  <si>
    <t>plan B forum</t>
  </si>
  <si>
    <t xml:space="preserve"> </t>
  </si>
  <si>
    <t>DUICENTRO</t>
  </si>
  <si>
    <t>PANAMERICANA</t>
  </si>
  <si>
    <t>campaña dui</t>
  </si>
  <si>
    <t>MINSAL DENGUE</t>
  </si>
  <si>
    <t xml:space="preserve">varias </t>
  </si>
  <si>
    <t>PANAMERICANA1_900</t>
  </si>
  <si>
    <t>CORONA</t>
  </si>
  <si>
    <t>campaña</t>
  </si>
  <si>
    <t>entry point</t>
  </si>
  <si>
    <t>SDM10_600</t>
  </si>
  <si>
    <t>desayunos y mix</t>
  </si>
  <si>
    <t>retails</t>
  </si>
  <si>
    <t>HEROES10_300</t>
  </si>
  <si>
    <t>MOP</t>
  </si>
  <si>
    <t>tour el salvador</t>
  </si>
  <si>
    <t>MAGGI</t>
  </si>
  <si>
    <t>MITSUBISHI</t>
  </si>
  <si>
    <t>APEX BBDO</t>
  </si>
  <si>
    <t>aniversario</t>
  </si>
  <si>
    <t>mundial</t>
  </si>
  <si>
    <t>SDM_EXTRA450</t>
  </si>
  <si>
    <t>MICHELOB</t>
  </si>
  <si>
    <t>NBA</t>
  </si>
  <si>
    <t>PANAMERICANA2_600</t>
  </si>
  <si>
    <t>material vario</t>
  </si>
  <si>
    <t>PANDA EXPRESS</t>
  </si>
  <si>
    <t>enero_26</t>
  </si>
  <si>
    <t>TIEMPO VENDIDO</t>
  </si>
  <si>
    <t xml:space="preserve">TIGO </t>
  </si>
  <si>
    <t>back to school</t>
  </si>
  <si>
    <t>SDM_EXTRA 2</t>
  </si>
  <si>
    <t>KENTUCKY</t>
  </si>
  <si>
    <t>wowbox</t>
  </si>
  <si>
    <t>LITTLE CEASAR</t>
  </si>
  <si>
    <t>bonificación</t>
  </si>
  <si>
    <t>PANAMERICANA3_600</t>
  </si>
  <si>
    <t>OMNISPORT</t>
  </si>
  <si>
    <t>redmi note 15</t>
  </si>
  <si>
    <t>SDM_EXTRA 3</t>
  </si>
  <si>
    <t>POLLO CAMPERO</t>
  </si>
  <si>
    <t>promociones</t>
  </si>
  <si>
    <t>MCDONALDS</t>
  </si>
  <si>
    <t>TOLEDO</t>
  </si>
  <si>
    <t>campaña generica</t>
  </si>
  <si>
    <t>NATURAS</t>
  </si>
  <si>
    <t>friito</t>
  </si>
  <si>
    <t>SDM_EXTRA 4</t>
  </si>
  <si>
    <t>SHAKIRA</t>
  </si>
  <si>
    <t>residencia shakira</t>
  </si>
  <si>
    <t xml:space="preserve">          </t>
  </si>
  <si>
    <t>PANAMERICANA4_450</t>
  </si>
  <si>
    <t>HOSPITAL CE</t>
  </si>
  <si>
    <t>ubicacion con qr</t>
  </si>
  <si>
    <t>retail</t>
  </si>
  <si>
    <t>generica</t>
  </si>
  <si>
    <t>450 1-13</t>
  </si>
  <si>
    <t>450 14-28</t>
  </si>
  <si>
    <t>retail 2</t>
  </si>
  <si>
    <t>PANAMERICANA5_450</t>
  </si>
  <si>
    <t>CONECTA</t>
  </si>
  <si>
    <t>mujeres emblematicas</t>
  </si>
  <si>
    <t>WALMART</t>
  </si>
  <si>
    <t>DESPENSA DJ</t>
  </si>
  <si>
    <t>LIFEMILES</t>
  </si>
  <si>
    <t>50% bonos</t>
  </si>
  <si>
    <t>PANAMERICANA6_450</t>
  </si>
  <si>
    <t>ALCALDIA S.S.</t>
  </si>
  <si>
    <t>bodas colectivas</t>
  </si>
  <si>
    <t>condimentos 3d</t>
  </si>
  <si>
    <t>LA GRAN VIA</t>
  </si>
  <si>
    <t>mood verano</t>
  </si>
  <si>
    <t>PANAMERICANA7_450</t>
  </si>
  <si>
    <t>FAUVE</t>
  </si>
  <si>
    <t>retail epa</t>
  </si>
  <si>
    <t>siempre en movimiento</t>
  </si>
  <si>
    <t>felpa</t>
  </si>
  <si>
    <t>OFFICE DEPOT</t>
  </si>
  <si>
    <t>noche de compra</t>
  </si>
  <si>
    <t>PANAMERICANA8_450</t>
  </si>
  <si>
    <t>SHERWIN WILLIAMS</t>
  </si>
  <si>
    <t>DELTA UNO</t>
  </si>
  <si>
    <t>PALM SOLARIS</t>
  </si>
  <si>
    <t>VOLARIS</t>
  </si>
  <si>
    <t>marzo viajero</t>
  </si>
  <si>
    <t>PANAMERICANA9_450</t>
  </si>
  <si>
    <t>Toshiba</t>
  </si>
  <si>
    <t>TIN MARIN</t>
  </si>
  <si>
    <t>la granjita</t>
  </si>
  <si>
    <t>verano</t>
  </si>
  <si>
    <t>PANAMERICANA10_450</t>
  </si>
  <si>
    <t>CONFIA</t>
  </si>
  <si>
    <t>MOPT</t>
  </si>
  <si>
    <t>MD</t>
  </si>
  <si>
    <t>basketball</t>
  </si>
  <si>
    <t>Retail pospago</t>
  </si>
  <si>
    <t>COAGRO</t>
  </si>
  <si>
    <t>BRAVECTO</t>
  </si>
  <si>
    <t>MITSUBISHI Y FUSO</t>
  </si>
  <si>
    <t>FEDECREDITO</t>
  </si>
  <si>
    <t>deposito digital</t>
  </si>
  <si>
    <t>ACALDIA S.S</t>
  </si>
  <si>
    <t>alfrombra CH</t>
  </si>
  <si>
    <t>G AIR</t>
  </si>
  <si>
    <t>semana santa</t>
  </si>
  <si>
    <t>AUTOMAX</t>
  </si>
  <si>
    <t>destinator</t>
  </si>
  <si>
    <t>FONAT</t>
  </si>
  <si>
    <t>HACIENDA</t>
  </si>
  <si>
    <t>ASI</t>
  </si>
  <si>
    <t>CEPA</t>
  </si>
  <si>
    <t>Sem santa</t>
  </si>
  <si>
    <t>DDDJ</t>
  </si>
  <si>
    <t>ST. JACKS</t>
  </si>
  <si>
    <t>rebajas</t>
  </si>
  <si>
    <t>DELTA PROPERTIES</t>
  </si>
  <si>
    <t>UNO</t>
  </si>
  <si>
    <t>SUNSET D.</t>
  </si>
  <si>
    <t>SOLARIS</t>
  </si>
  <si>
    <t>VENZA</t>
  </si>
  <si>
    <t>frescura extrema</t>
  </si>
  <si>
    <t>pequeño aporte, gran cambio</t>
  </si>
  <si>
    <t>APEX</t>
  </si>
  <si>
    <t>festival esperanza</t>
  </si>
  <si>
    <t>VIDRI</t>
  </si>
  <si>
    <t>sika</t>
  </si>
  <si>
    <t>Hisense</t>
  </si>
  <si>
    <t>generico</t>
  </si>
  <si>
    <t>ALCALDIA S.S</t>
  </si>
  <si>
    <t xml:space="preserve">pagar impuesto </t>
  </si>
  <si>
    <t>Institucional 2</t>
  </si>
  <si>
    <t>buen salvadoreño</t>
  </si>
  <si>
    <t xml:space="preserve">EXCEL </t>
  </si>
  <si>
    <t>GALERIAS</t>
  </si>
  <si>
    <t>Rosario de hombres</t>
  </si>
  <si>
    <t xml:space="preserve">NEQUI </t>
  </si>
  <si>
    <t>viaje</t>
  </si>
  <si>
    <t>MUJER Y HOMBRE</t>
  </si>
  <si>
    <t xml:space="preserve">SIKA </t>
  </si>
  <si>
    <t>ACEITE</t>
  </si>
  <si>
    <t>JABON</t>
  </si>
  <si>
    <t>BC CUSCATLAN</t>
  </si>
  <si>
    <t>NIU+</t>
  </si>
  <si>
    <t>VENTA NOCTURNA</t>
  </si>
  <si>
    <t xml:space="preserve">GENERICO </t>
  </si>
  <si>
    <t xml:space="preserve">COOP </t>
  </si>
  <si>
    <t>CREDITO Y AHORRO</t>
  </si>
  <si>
    <t>FUSO</t>
  </si>
  <si>
    <t xml:space="preserve">PLAZA MUNDO </t>
  </si>
  <si>
    <t>QUINIELA</t>
  </si>
  <si>
    <t>REGALIA</t>
  </si>
  <si>
    <t>WENDYS</t>
  </si>
  <si>
    <t>SEDE OFICIAL DEL ANTOJO</t>
  </si>
  <si>
    <t>BANCO INTEGRAL</t>
  </si>
  <si>
    <t>FERIA</t>
  </si>
  <si>
    <t>PRESIDENCIA</t>
  </si>
  <si>
    <t>7 AÑOS CUMPLIENDO</t>
  </si>
  <si>
    <t>PALETAS Y COPAS</t>
  </si>
  <si>
    <t>CAMPAÑA DENGUE</t>
  </si>
  <si>
    <t>PROCERES</t>
  </si>
  <si>
    <t>JABON FRESCURA</t>
  </si>
  <si>
    <t>FLYING TIGER 1</t>
  </si>
  <si>
    <t>LANZAMIENTO</t>
  </si>
  <si>
    <t>PROCERES1_450</t>
  </si>
  <si>
    <t>VENTA NOCTURA Y HAPPY HOUR</t>
  </si>
  <si>
    <t>PUMA</t>
  </si>
  <si>
    <t>60 DE DESCUENTO</t>
  </si>
  <si>
    <t>30MIL PREMIOS</t>
  </si>
  <si>
    <t>ANIMADO</t>
  </si>
  <si>
    <t>PEPSI</t>
  </si>
  <si>
    <t>PEPSI CAMPERO</t>
  </si>
  <si>
    <t>PASEO1_600</t>
  </si>
  <si>
    <t>REMESAS Y JUGAR Y GANAR</t>
  </si>
  <si>
    <t>XIAOMI</t>
  </si>
  <si>
    <t>GENERALES</t>
  </si>
  <si>
    <t>PROCERES2_450</t>
  </si>
  <si>
    <t>HERO</t>
  </si>
  <si>
    <t>MOTOS</t>
  </si>
  <si>
    <t>VIJOSA</t>
  </si>
  <si>
    <t>GRIIN FLEX</t>
  </si>
  <si>
    <t>,</t>
  </si>
  <si>
    <t>PASEO2_900</t>
  </si>
  <si>
    <t>CONFORT STAR</t>
  </si>
  <si>
    <t>AGRICOLA ALIANZAS</t>
  </si>
  <si>
    <t>CAMAPAÑA GRAL</t>
  </si>
  <si>
    <t>MINSAL 2</t>
  </si>
  <si>
    <t>CAMPAÑA DENGUE 2</t>
  </si>
  <si>
    <t>MUNDIAL</t>
  </si>
  <si>
    <t>PROCERES3_450</t>
  </si>
  <si>
    <t>NUEVO ARTE CHEDDAR</t>
  </si>
  <si>
    <t>21 | jul | 26</t>
  </si>
  <si>
    <t xml:space="preserve">VACACIONES </t>
  </si>
  <si>
    <t>27 | jul | 26</t>
  </si>
  <si>
    <t>PASEO3_300</t>
  </si>
  <si>
    <t>PROCERES4_450</t>
  </si>
  <si>
    <t>PASEO4_450</t>
  </si>
  <si>
    <t>PROCERES5_600</t>
  </si>
  <si>
    <t>PASEO5_450</t>
  </si>
  <si>
    <t>{</t>
  </si>
  <si>
    <t>PROCERES6_300</t>
  </si>
  <si>
    <t xml:space="preserve">JERUSALEN </t>
  </si>
  <si>
    <t>PASEO6_300</t>
  </si>
  <si>
    <t>KAVI ACCESORIOS</t>
  </si>
  <si>
    <t>BENITO1_900</t>
  </si>
  <si>
    <t>BANCO INTEGRAL FERIA</t>
  </si>
  <si>
    <t>PROCERES7_300</t>
  </si>
  <si>
    <t>PASEO7_300</t>
  </si>
  <si>
    <t>BENITO2_450</t>
  </si>
  <si>
    <t>PROCERES8_450</t>
  </si>
  <si>
    <t>PACIFICO AZUL</t>
  </si>
  <si>
    <t>PASEO8_900</t>
  </si>
  <si>
    <t>PROCERES9_450</t>
  </si>
  <si>
    <t>PASEO9_900</t>
  </si>
  <si>
    <t>BENITO3_300</t>
  </si>
  <si>
    <t>PROCERES10_450</t>
  </si>
  <si>
    <t>PASEO10_900</t>
  </si>
  <si>
    <t>univer</t>
  </si>
  <si>
    <t>BENITO4_300</t>
  </si>
  <si>
    <t>JERUSALEN5_450</t>
  </si>
  <si>
    <t>BENITO6_900</t>
  </si>
  <si>
    <t>BENITO7_300</t>
  </si>
  <si>
    <t>JERUSALEM8_300</t>
  </si>
  <si>
    <t>CONECTA B2B</t>
  </si>
  <si>
    <t>BENITO9_300</t>
  </si>
  <si>
    <t>BENITO10_300</t>
  </si>
  <si>
    <t>SAN BENITO</t>
  </si>
  <si>
    <t>BAMBU CITY CENTER</t>
  </si>
  <si>
    <t>CONSTITUCIÓN / JUAN PABLO</t>
  </si>
  <si>
    <t>JUAN PABLO 1_450</t>
  </si>
  <si>
    <t>RECORDATORIOS</t>
  </si>
  <si>
    <t>DETALLE</t>
  </si>
  <si>
    <t>FECHA</t>
  </si>
  <si>
    <t>BENITO3_450</t>
  </si>
  <si>
    <t>JUAN PABLO2_300</t>
  </si>
  <si>
    <t>programar material DLC_nuevo material</t>
  </si>
  <si>
    <t>programar material CLARO_material nuevo</t>
  </si>
  <si>
    <t>BENITO4_450</t>
  </si>
  <si>
    <t>programar material creativerso</t>
  </si>
  <si>
    <t>COMFORSTAR</t>
  </si>
  <si>
    <t xml:space="preserve">programar material "1.25" tigo entry point </t>
  </si>
  <si>
    <t xml:space="preserve">quitar material tigo enntry point celulares </t>
  </si>
  <si>
    <t>programar material virogrip fin de año 26-2</t>
  </si>
  <si>
    <t>programar material virogrip felpa 3-31</t>
  </si>
  <si>
    <t>BENITO5_300</t>
  </si>
  <si>
    <t>programar isss fin de año</t>
  </si>
  <si>
    <t>programar material MUCHACASA</t>
  </si>
  <si>
    <t>AVICOLA</t>
  </si>
  <si>
    <t>programar material Prismamoda Cojin</t>
  </si>
  <si>
    <t>programar SIMAN saludo añoi nuevo</t>
  </si>
  <si>
    <t xml:space="preserve">programar Duicentro </t>
  </si>
  <si>
    <t>PROGRAMAR TIGO BACK TO SCHOOL (MUNDIAL)</t>
  </si>
  <si>
    <t>ARTE VERANO SIMAN</t>
  </si>
  <si>
    <t>ESPECIAL CALZADO SIMAN</t>
  </si>
  <si>
    <t>MES DE AFILIACION SIMAN</t>
  </si>
  <si>
    <t>SIMAN XIAOMI</t>
  </si>
  <si>
    <t xml:space="preserve">    </t>
  </si>
  <si>
    <t>BENITO8_300</t>
  </si>
  <si>
    <t>NO DISPO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</si>
</sst>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&quot; | &quot;mmm&quot; | &quot;yy"/>
    <numFmt numFmtId="165" formatCode="d&quot; | &quot;mmm&quot; | &quot;yy"/>
    <numFmt numFmtId="166" formatCode="H:mm"/>
    <numFmt numFmtId="167" formatCode="d&quot; &quot;mmm&quot; &quot;"/>
    <numFmt numFmtId="168" formatCode="hh:mm"/>
    <numFmt numFmtId="169" formatCode="d/m/yy"/>
    <numFmt numFmtId="170" formatCode="d&quot; de &quot;m"/>
    <numFmt numFmtId="171" formatCode="d/m"/>
    <numFmt numFmtId="172" formatCode="dd/mm/yy"/>
  </numFmts>
  <fonts count="1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3.0"/>
      <color rgb="FF999999"/>
      <name val="Arial"/>
      <scheme val="minor"/>
    </font>
    <font>
      <b/>
      <sz val="20.0"/>
      <color rgb="FF999999"/>
      <name val="Arial"/>
      <scheme val="minor"/>
    </font>
    <font>
      <color rgb="FFF3F3F3"/>
      <name val="Arial"/>
      <scheme val="minor"/>
    </font>
    <font>
      <color theme="1"/>
      <name val="Arial"/>
      <scheme val="minor"/>
    </font>
    <font>
      <b/>
      <sz val="20.0"/>
      <color rgb="FFFFFFFF"/>
      <name val="Arial"/>
      <scheme val="minor"/>
    </font>
    <font/>
    <font>
      <color theme="1"/>
      <name val="Arial"/>
    </font>
    <font>
      <color rgb="FFFFFFFF"/>
      <name val="Arial"/>
      <scheme val="minor"/>
    </font>
    <font>
      <color rgb="FF666666"/>
      <name val="Arial"/>
    </font>
    <font>
      <color rgb="FFB45F06"/>
      <name val="Arial"/>
    </font>
    <font>
      <color rgb="FF666666"/>
      <name val="Arial"/>
      <scheme val="minor"/>
    </font>
    <font>
      <sz val="8.0"/>
      <color theme="1"/>
      <name val="Arial"/>
      <scheme val="minor"/>
    </font>
    <font>
      <sz val="10.0"/>
      <color theme="1"/>
      <name val="Arial"/>
      <scheme val="minor"/>
    </font>
    <font>
      <sz val="10.0"/>
      <color rgb="FF666666"/>
      <name val="Arial"/>
      <scheme val="minor"/>
    </font>
    <font>
      <b/>
      <color rgb="FF666666"/>
      <name val="Arial"/>
      <scheme val="minor"/>
    </font>
    <font>
      <b/>
      <color rgb="FFFFFFF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theme="0"/>
        <bgColor theme="0"/>
      </patternFill>
    </fill>
    <fill>
      <patternFill patternType="solid">
        <fgColor rgb="FFF9CB9C"/>
        <bgColor rgb="FFF9CB9C"/>
      </patternFill>
    </fill>
    <fill>
      <patternFill patternType="solid">
        <fgColor rgb="FFB7E1CD"/>
        <bgColor rgb="FFB7E1CD"/>
      </patternFill>
    </fill>
    <fill>
      <patternFill patternType="solid">
        <fgColor theme="5"/>
        <bgColor theme="5"/>
      </patternFill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theme="6"/>
        <bgColor theme="6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2" fillId="4" fontId="4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3" fillId="4" fontId="4" numFmtId="0" xfId="0" applyAlignment="1" applyBorder="1" applyFill="1" applyFont="1">
      <alignment horizontal="center" readingOrder="0"/>
    </xf>
    <xf borderId="4" fillId="0" fontId="7" numFmtId="0" xfId="0" applyBorder="1" applyFont="1"/>
    <xf borderId="1" fillId="4" fontId="4" numFmtId="0" xfId="0" applyAlignment="1" applyBorder="1" applyFill="1" applyFont="1">
      <alignment horizontal="center" readingOrder="0" textRotation="0" vertical="center"/>
    </xf>
    <xf borderId="5" fillId="0" fontId="7" numFmtId="0" xfId="0" applyBorder="1" applyFont="1"/>
    <xf borderId="0" fillId="2" fontId="2" numFmtId="0" xfId="0" applyAlignment="1" applyFill="1" applyFont="1">
      <alignment horizontal="center" readingOrder="0" textRotation="255" vertical="center"/>
    </xf>
    <xf borderId="6" fillId="0" fontId="7" numFmtId="0" xfId="0" applyBorder="1" applyFont="1"/>
    <xf borderId="1" fillId="0" fontId="5" numFmtId="20" xfId="0" applyAlignment="1" applyBorder="1" applyFont="1" applyNumberFormat="1">
      <alignment horizontal="center" readingOrder="0"/>
    </xf>
    <xf borderId="0" fillId="4" fontId="4" numFmtId="0" xfId="0" applyAlignment="1" applyFill="1" applyFont="1">
      <alignment horizontal="center" readingOrder="0"/>
    </xf>
    <xf borderId="1" fillId="0" fontId="8" numFmtId="0" xfId="0" applyAlignment="1" applyBorder="1" applyFont="1">
      <alignment horizontal="center" readingOrder="0" vertical="bottom"/>
    </xf>
    <xf borderId="0" fillId="5" fontId="9" numFmtId="0" xfId="0" applyAlignment="1" applyFill="1" applyFont="1">
      <alignment horizontal="center" readingOrder="0"/>
    </xf>
    <xf borderId="1" fillId="0" fontId="8" numFmtId="164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horizontal="right" readingOrder="0"/>
    </xf>
    <xf borderId="1" fillId="0" fontId="8" numFmtId="165" xfId="0" applyAlignment="1" applyBorder="1" applyFont="1" applyNumberFormat="1">
      <alignment horizontal="center" readingOrder="0" vertical="bottom"/>
    </xf>
    <xf borderId="2" fillId="0" fontId="5" numFmtId="0" xfId="0" applyAlignment="1" applyBorder="1" applyFont="1">
      <alignment horizontal="right" readingOrder="0"/>
    </xf>
    <xf borderId="1" fillId="3" fontId="10" numFmtId="0" xfId="0" applyAlignment="1" applyBorder="1" applyFill="1" applyFont="1">
      <alignment horizontal="center" readingOrder="0"/>
    </xf>
    <xf borderId="7" fillId="0" fontId="5" numFmtId="0" xfId="0" applyAlignment="1" applyBorder="1" applyFont="1">
      <alignment horizontal="center"/>
    </xf>
    <xf borderId="1" fillId="6" fontId="8" numFmtId="0" xfId="0" applyBorder="1" applyFill="1" applyFont="1"/>
    <xf borderId="8" fillId="0" fontId="7" numFmtId="0" xfId="0" applyBorder="1" applyFont="1"/>
    <xf borderId="7" fillId="0" fontId="5" numFmtId="0" xfId="0" applyAlignment="1" applyBorder="1" applyFont="1">
      <alignment horizontal="right" readingOrder="0"/>
    </xf>
    <xf borderId="1" fillId="0" fontId="5" numFmtId="20" xfId="0" applyAlignment="1" applyBorder="1" applyFont="1" applyNumberFormat="1">
      <alignment horizontal="center"/>
    </xf>
    <xf borderId="7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7" fillId="5" fontId="8" numFmtId="0" xfId="0" applyAlignment="1" applyBorder="1" applyFill="1" applyFont="1">
      <alignment horizontal="center" readingOrder="0" vertical="bottom"/>
    </xf>
    <xf borderId="1" fillId="0" fontId="5" numFmtId="166" xfId="0" applyAlignment="1" applyBorder="1" applyFont="1" applyNumberFormat="1">
      <alignment horizontal="center"/>
    </xf>
    <xf borderId="7" fillId="5" fontId="5" numFmtId="0" xfId="0" applyAlignment="1" applyBorder="1" applyFill="1" applyFont="1">
      <alignment horizontal="center" readingOrder="0"/>
    </xf>
    <xf borderId="0" fillId="7" fontId="9" numFmtId="0" xfId="0" applyFill="1" applyFont="1"/>
    <xf borderId="1" fillId="0" fontId="8" numFmtId="0" xfId="0" applyAlignment="1" applyBorder="1" applyFont="1">
      <alignment horizontal="center" vertical="bottom"/>
    </xf>
    <xf borderId="0" fillId="5" fontId="9" numFmtId="0" xfId="0" applyFill="1" applyFont="1"/>
    <xf borderId="1" fillId="0" fontId="8" numFmtId="164" xfId="0" applyAlignment="1" applyBorder="1" applyFont="1" applyNumberFormat="1">
      <alignment horizontal="center" vertical="bottom"/>
    </xf>
    <xf borderId="7" fillId="0" fontId="5" numFmtId="164" xfId="0" applyAlignment="1" applyBorder="1" applyFont="1" applyNumberFormat="1">
      <alignment horizontal="center" readingOrder="0"/>
    </xf>
    <xf borderId="1" fillId="0" fontId="8" numFmtId="165" xfId="0" applyAlignment="1" applyBorder="1" applyFont="1" applyNumberFormat="1">
      <alignment horizontal="center" vertical="bottom"/>
    </xf>
    <xf borderId="9" fillId="0" fontId="5" numFmtId="0" xfId="0" applyAlignment="1" applyBorder="1" applyFont="1">
      <alignment horizontal="right" readingOrder="0"/>
    </xf>
    <xf borderId="1" fillId="3" fontId="10" numFmtId="0" xfId="0" applyAlignment="1" applyBorder="1" applyFill="1" applyFont="1">
      <alignment horizontal="center"/>
    </xf>
    <xf borderId="0" fillId="5" fontId="9" numFmtId="167" xfId="0" applyFill="1" applyFont="1" applyNumberFormat="1"/>
    <xf borderId="0" fillId="0" fontId="5" numFmtId="0" xfId="0" applyAlignment="1" applyFont="1">
      <alignment horizontal="center" readingOrder="0"/>
    </xf>
    <xf borderId="7" fillId="0" fontId="5" numFmtId="165" xfId="0" applyAlignment="1" applyBorder="1" applyFont="1" applyNumberFormat="1">
      <alignment horizontal="center" readingOrder="0"/>
    </xf>
    <xf borderId="1" fillId="6" fontId="11" numFmtId="165" xfId="0" applyAlignment="1" applyBorder="1" applyFill="1" applyFont="1" applyNumberFormat="1">
      <alignment horizontal="center" vertical="bottom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6" fillId="0" fontId="5" numFmtId="0" xfId="0" applyAlignment="1" applyBorder="1" applyFont="1">
      <alignment horizontal="right" readingOrder="0"/>
    </xf>
    <xf borderId="10" fillId="0" fontId="5" numFmtId="0" xfId="0" applyAlignment="1" applyBorder="1" applyFont="1">
      <alignment horizontal="center" readingOrder="0"/>
    </xf>
    <xf borderId="1" fillId="5" fontId="12" numFmtId="0" xfId="0" applyAlignment="1" applyBorder="1" applyFill="1" applyFont="1">
      <alignment horizontal="center" readingOrder="0" vertical="center"/>
    </xf>
    <xf borderId="10" fillId="0" fontId="5" numFmtId="0" xfId="0" applyAlignment="1" applyBorder="1" applyFont="1">
      <alignment horizontal="center"/>
    </xf>
    <xf borderId="11" fillId="0" fontId="7" numFmtId="0" xfId="0" applyBorder="1" applyFont="1"/>
    <xf borderId="12" fillId="0" fontId="7" numFmtId="0" xfId="0" applyBorder="1" applyFont="1"/>
    <xf borderId="13" fillId="0" fontId="5" numFmtId="0" xfId="0" applyAlignment="1" applyBorder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0" fillId="5" fontId="5" numFmtId="0" xfId="0" applyAlignment="1" applyFill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1" fillId="8" fontId="8" numFmtId="0" xfId="0" applyAlignment="1" applyBorder="1" applyFill="1" applyFont="1">
      <alignment horizontal="center" vertical="bottom"/>
    </xf>
    <xf borderId="12" fillId="0" fontId="5" numFmtId="0" xfId="0" applyAlignment="1" applyBorder="1" applyFont="1">
      <alignment horizontal="center"/>
    </xf>
    <xf borderId="13" fillId="4" fontId="4" numFmtId="0" xfId="0" applyAlignment="1" applyBorder="1" applyFill="1" applyFont="1">
      <alignment horizontal="center" readingOrder="0"/>
    </xf>
    <xf borderId="0" fillId="0" fontId="5" numFmtId="168" xfId="0" applyAlignment="1" applyFont="1" applyNumberFormat="1">
      <alignment readingOrder="0"/>
    </xf>
    <xf borderId="10" fillId="4" fontId="4" numFmtId="0" xfId="0" applyAlignment="1" applyBorder="1" applyFill="1" applyFont="1">
      <alignment horizontal="center" readingOrder="0"/>
    </xf>
    <xf borderId="0" fillId="0" fontId="5" numFmtId="168" xfId="0" applyFont="1" applyNumberFormat="1"/>
    <xf borderId="0" fillId="5" fontId="9" numFmtId="167" xfId="0" applyAlignment="1" applyFill="1" applyFont="1" applyNumberFormat="1">
      <alignment readingOrder="0"/>
    </xf>
    <xf borderId="1" fillId="9" fontId="10" numFmtId="165" xfId="0" applyAlignment="1" applyBorder="1" applyFill="1" applyFont="1" applyNumberFormat="1">
      <alignment horizontal="center" vertical="bottom"/>
    </xf>
    <xf borderId="1" fillId="0" fontId="8" numFmtId="169" xfId="0" applyAlignment="1" applyBorder="1" applyFont="1" applyNumberFormat="1">
      <alignment horizontal="center" vertical="bottom"/>
    </xf>
    <xf borderId="0" fillId="5" fontId="9" numFmtId="0" xfId="0" applyAlignment="1" applyFill="1" applyFont="1">
      <alignment readingOrder="0"/>
    </xf>
    <xf borderId="1" fillId="6" fontId="8" numFmtId="0" xfId="0" applyAlignment="1" applyBorder="1" applyFill="1" applyFont="1">
      <alignment vertical="bottom"/>
    </xf>
    <xf borderId="1" fillId="3" fontId="10" numFmtId="0" xfId="0" applyAlignment="1" applyBorder="1" applyFill="1" applyFont="1">
      <alignment horizontal="center" vertical="bottom"/>
    </xf>
    <xf borderId="0" fillId="5" fontId="5" numFmtId="0" xfId="0" applyFill="1" applyFont="1"/>
    <xf borderId="8" fillId="0" fontId="5" numFmtId="0" xfId="0" applyAlignment="1" applyBorder="1" applyFont="1">
      <alignment horizontal="center" readingOrder="0"/>
    </xf>
    <xf borderId="1" fillId="0" fontId="8" numFmtId="164" xfId="0" applyAlignment="1" applyBorder="1" applyFont="1" applyNumberFormat="1">
      <alignment vertical="bottom"/>
    </xf>
    <xf borderId="1" fillId="0" fontId="8" numFmtId="165" xfId="0" applyAlignment="1" applyBorder="1" applyFont="1" applyNumberFormat="1">
      <alignment vertical="bottom"/>
    </xf>
    <xf borderId="7" fillId="3" fontId="8" numFmtId="0" xfId="0" applyAlignment="1" applyBorder="1" applyFill="1" applyFont="1">
      <alignment horizontal="center" readingOrder="0" vertical="bottom"/>
    </xf>
    <xf borderId="1" fillId="0" fontId="8" numFmtId="164" xfId="0" applyAlignment="1" applyBorder="1" applyFont="1" applyNumberFormat="1">
      <alignment readingOrder="0" vertical="bottom"/>
    </xf>
    <xf borderId="1" fillId="0" fontId="8" numFmtId="165" xfId="0" applyAlignment="1" applyBorder="1" applyFont="1" applyNumberFormat="1">
      <alignment readingOrder="0" vertical="bottom"/>
    </xf>
    <xf borderId="7" fillId="0" fontId="8" numFmtId="165" xfId="0" applyAlignment="1" applyBorder="1" applyFont="1" applyNumberFormat="1">
      <alignment horizontal="center" readingOrder="0" vertical="bottom"/>
    </xf>
    <xf borderId="7" fillId="0" fontId="8" numFmtId="165" xfId="0" applyAlignment="1" applyBorder="1" applyFont="1" applyNumberFormat="1">
      <alignment horizontal="center" readingOrder="0" vertical="bottom"/>
    </xf>
    <xf borderId="1" fillId="0" fontId="5" numFmtId="164" xfId="0" applyAlignment="1" applyBorder="1" applyFont="1" applyNumberForma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10" fillId="0" fontId="8" numFmtId="0" xfId="0" applyAlignment="1" applyBorder="1" applyFont="1">
      <alignment horizontal="center" readingOrder="0" vertical="bottom"/>
    </xf>
    <xf borderId="0" fillId="0" fontId="13" numFmtId="0" xfId="0" applyAlignment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7" fillId="4" fontId="4" numFmtId="0" xfId="0" applyAlignment="1" applyBorder="1" applyFill="1" applyFont="1">
      <alignment horizontal="center" readingOrder="0"/>
    </xf>
    <xf borderId="12" fillId="0" fontId="5" numFmtId="0" xfId="0" applyAlignment="1" applyBorder="1" applyFont="1">
      <alignment horizontal="center" readingOrder="0"/>
    </xf>
    <xf borderId="1" fillId="0" fontId="5" numFmtId="170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right" readingOrder="0"/>
    </xf>
    <xf borderId="0" fillId="7" fontId="5" numFmtId="0" xfId="0" applyFill="1" applyFont="1"/>
    <xf borderId="7" fillId="3" fontId="5" numFmtId="0" xfId="0" applyAlignment="1" applyBorder="1" applyFill="1" applyFont="1">
      <alignment horizontal="center" readingOrder="0"/>
    </xf>
    <xf borderId="0" fillId="5" fontId="9" numFmtId="171" xfId="0" applyAlignment="1" applyFill="1" applyFont="1" applyNumberFormat="1">
      <alignment readingOrder="0"/>
    </xf>
    <xf borderId="1" fillId="0" fontId="5" numFmtId="0" xfId="0" applyBorder="1" applyFont="1"/>
    <xf borderId="1" fillId="5" fontId="5" numFmtId="0" xfId="0" applyAlignment="1" applyBorder="1" applyFill="1" applyFont="1">
      <alignment horizontal="center" readingOrder="0"/>
    </xf>
    <xf borderId="1" fillId="5" fontId="14" numFmtId="0" xfId="0" applyAlignment="1" applyBorder="1" applyFill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1" fillId="0" fontId="14" numFmtId="164" xfId="0" applyAlignment="1" applyBorder="1" applyFont="1" applyNumberFormat="1">
      <alignment horizontal="center" readingOrder="0"/>
    </xf>
    <xf borderId="1" fillId="0" fontId="14" numFmtId="165" xfId="0" applyAlignment="1" applyBorder="1" applyFont="1" applyNumberFormat="1">
      <alignment horizontal="center" readingOrder="0"/>
    </xf>
    <xf borderId="1" fillId="5" fontId="15" numFmtId="0" xfId="0" applyAlignment="1" applyBorder="1" applyFill="1" applyFon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/>
    </xf>
    <xf borderId="1" fillId="0" fontId="5" numFmtId="172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10" fontId="5" numFmtId="0" xfId="0" applyAlignment="1" applyBorder="1" applyFill="1" applyFont="1">
      <alignment horizontal="center" readingOrder="0"/>
    </xf>
    <xf borderId="7" fillId="11" fontId="5" numFmtId="0" xfId="0" applyAlignment="1" applyBorder="1" applyFill="1" applyFont="1">
      <alignment horizontal="center" readingOrder="0"/>
    </xf>
    <xf borderId="1" fillId="5" fontId="16" numFmtId="0" xfId="0" applyAlignment="1" applyBorder="1" applyFill="1" applyFont="1">
      <alignment horizontal="center" readingOrder="0" vertical="center"/>
    </xf>
    <xf borderId="0" fillId="0" fontId="5" numFmtId="0" xfId="0" applyFont="1"/>
    <xf borderId="1" fillId="0" fontId="5" numFmtId="169" xfId="0" applyAlignment="1" applyBorder="1" applyFont="1" applyNumberFormat="1">
      <alignment horizontal="center" readingOrder="0"/>
    </xf>
    <xf borderId="7" fillId="0" fontId="13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vertical="bottom"/>
    </xf>
    <xf borderId="0" fillId="5" fontId="17" numFmtId="0" xfId="0" applyFill="1" applyFont="1"/>
    <xf borderId="0" fillId="5" fontId="8" numFmtId="0" xfId="0" applyAlignment="1" applyFill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bottom"/>
    </xf>
    <xf borderId="0" fillId="0" fontId="8" numFmtId="164" xfId="0" applyAlignment="1" applyFont="1" applyNumberForma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8" numFmtId="165" xfId="0" applyAlignment="1" applyFont="1" applyNumberFormat="1">
      <alignment horizontal="center" readingOrder="0" vertical="bottom"/>
    </xf>
    <xf borderId="8" fillId="0" fontId="5" numFmtId="0" xfId="0" applyAlignment="1" applyBorder="1" applyFont="1">
      <alignment horizontal="center"/>
    </xf>
    <xf borderId="8" fillId="0" fontId="5" numFmtId="164" xfId="0" applyAlignment="1" applyBorder="1" applyFont="1" applyNumberFormat="1">
      <alignment horizontal="center" readingOrder="0"/>
    </xf>
    <xf borderId="8" fillId="0" fontId="5" numFmtId="165" xfId="0" applyAlignment="1" applyBorder="1" applyFont="1" applyNumberFormat="1">
      <alignment horizontal="center" readingOrder="0"/>
    </xf>
    <xf borderId="11" fillId="0" fontId="5" numFmtId="0" xfId="0" applyAlignment="1" applyBorder="1" applyFont="1">
      <alignment horizontal="center" readingOrder="0"/>
    </xf>
    <xf borderId="13" fillId="0" fontId="5" numFmtId="0" xfId="0" applyBorder="1" applyFont="1"/>
    <xf borderId="7" fillId="0" fontId="5" numFmtId="167" xfId="0" applyAlignment="1" applyBorder="1" applyFont="1" applyNumberFormat="1">
      <alignment readingOrder="0"/>
    </xf>
    <xf borderId="7" fillId="0" fontId="5" numFmtId="167" xfId="0" applyBorder="1" applyFont="1" applyNumberFormat="1"/>
    <xf borderId="10" fillId="0" fontId="5" numFmtId="0" xfId="0" applyBorder="1" applyFont="1"/>
    <xf borderId="13" fillId="4" fontId="4" numFmtId="0" xfId="0" applyAlignment="1" applyBorder="1" applyFill="1" applyFont="1">
      <alignment horizontal="center" readingOrder="0" vertical="center"/>
    </xf>
    <xf borderId="0" fillId="4" fontId="5" numFmtId="0" xfId="0" applyFill="1" applyFont="1"/>
    <xf borderId="10" fillId="0" fontId="7" numFmtId="0" xfId="0" applyBorder="1" applyFont="1"/>
    <xf borderId="3" fillId="0" fontId="5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4" fillId="0" fontId="5" numFmtId="164" xfId="0" applyAlignment="1" applyBorder="1" applyFont="1" applyNumberFormat="1">
      <alignment horizontal="center" readingOrder="0"/>
    </xf>
    <xf borderId="4" fillId="0" fontId="5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14"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FFFFFF"/>
      </font>
      <fill>
        <patternFill patternType="solid">
          <fgColor rgb="FFD9D9D9"/>
          <bgColor rgb="FFD9D9D9"/>
        </patternFill>
      </fill>
      <border/>
    </dxf>
    <dxf>
      <font>
        <color rgb="FFFFFFFF"/>
      </font>
      <fill>
        <patternFill patternType="solid">
          <fgColor rgb="FFCCCCCC"/>
          <bgColor rgb="FFCCCCCC"/>
        </patternFill>
      </fill>
      <border/>
    </dxf>
    <dxf>
      <font>
        <b/>
        <color rgb="FF990000"/>
      </font>
      <fill>
        <patternFill patternType="solid">
          <fgColor rgb="FFE06666"/>
          <bgColor rgb="FFE06666"/>
        </patternFill>
      </fill>
      <border/>
    </dxf>
    <dxf>
      <font>
        <b/>
        <color rgb="FFB45F06"/>
      </font>
      <fill>
        <patternFill patternType="solid">
          <fgColor rgb="FFF6B26B"/>
          <bgColor rgb="FFF6B26B"/>
        </patternFill>
      </fill>
      <border/>
    </dxf>
    <dxf>
      <font>
        <color rgb="FF7F6000"/>
      </font>
      <fill>
        <patternFill patternType="solid">
          <fgColor rgb="FFFFD966"/>
          <bgColor rgb="FFFFD966"/>
        </patternFill>
      </fill>
      <border/>
    </dxf>
    <dxf>
      <font>
        <color rgb="FF666666"/>
      </font>
      <fill>
        <patternFill patternType="solid">
          <fgColor rgb="FFD9D9D9"/>
          <bgColor rgb="FFD9D9D9"/>
        </patternFill>
      </fill>
      <border/>
    </dxf>
    <dxf>
      <font>
        <b/>
        <color rgb="FFE06666"/>
      </font>
      <fill>
        <patternFill patternType="solid">
          <fgColor rgb="FFF4C7C3"/>
          <bgColor rgb="FFF4C7C3"/>
        </patternFill>
      </fill>
      <border/>
    </dxf>
    <dxf>
      <font>
        <color rgb="FFB45F06"/>
      </font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EFEFEF"/>
      </font>
      <fill>
        <patternFill patternType="solid">
          <fgColor rgb="FFCCCCCC"/>
          <bgColor rgb="FFCCCCCC"/>
        </patternFill>
      </fill>
      <border/>
    </dxf>
    <dxf>
      <font>
        <b/>
        <color rgb="FFCC0000"/>
      </font>
      <fill>
        <patternFill patternType="solid">
          <fgColor rgb="FFEA9999"/>
          <bgColor rgb="FFEA9999"/>
        </patternFill>
      </fill>
      <border/>
    </dxf>
    <dxf>
      <font>
        <b/>
        <color rgb="FFE69138"/>
      </font>
      <fill>
        <patternFill patternType="solid">
          <fgColor rgb="FFF9CB9C"/>
          <bgColor rgb="FFF9C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15.38"/>
    <col customWidth="1" min="3" max="3" width="7.38"/>
    <col customWidth="1" min="4" max="4" width="13.75"/>
    <col customWidth="1" min="5" max="5" width="4.25"/>
    <col customWidth="1" min="6" max="6" width="5.13"/>
    <col customWidth="1" min="7" max="7" width="11.38"/>
    <col customWidth="1" min="8" max="8" width="16.5"/>
    <col customWidth="1" min="9" max="9" width="11.0"/>
    <col customWidth="1" min="10" max="10" width="23.25"/>
    <col customWidth="1" min="11" max="11" width="18.25"/>
  </cols>
  <sheetData>
    <row r="3">
      <c r="B3" s="2" t="s">
        <v>0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L3" s="4"/>
      <c r="M3" s="4"/>
      <c r="N3" s="4"/>
      <c r="O3" s="4"/>
      <c r="P3" s="4"/>
    </row>
    <row r="4">
      <c r="B4" s="7">
        <v>450.0</v>
      </c>
      <c r="D4" s="11" t="s">
        <v>16</v>
      </c>
      <c r="E4" s="15">
        <v>0.16666666666666666</v>
      </c>
      <c r="F4" s="15">
        <v>1.0</v>
      </c>
      <c r="G4" s="28">
        <f t="shared" ref="G4:G9" si="1">F4-E4</f>
        <v>0.8333333333</v>
      </c>
      <c r="H4" s="30"/>
      <c r="I4" s="32"/>
      <c r="J4" s="15"/>
    </row>
    <row r="5">
      <c r="D5" s="11" t="s">
        <v>20</v>
      </c>
      <c r="E5" s="15">
        <v>0.20833333333333334</v>
      </c>
      <c r="F5" s="15">
        <v>0.9583333333333334</v>
      </c>
      <c r="G5" s="28">
        <f t="shared" si="1"/>
        <v>0.75</v>
      </c>
      <c r="H5" s="30"/>
      <c r="I5" s="32"/>
      <c r="J5" s="15"/>
    </row>
    <row r="6">
      <c r="D6" s="11" t="s">
        <v>21</v>
      </c>
      <c r="E6" s="15">
        <v>0.16666666666666666</v>
      </c>
      <c r="F6" s="15">
        <v>1.0</v>
      </c>
      <c r="G6" s="28">
        <f t="shared" si="1"/>
        <v>0.8333333333</v>
      </c>
      <c r="H6" s="30"/>
      <c r="I6" s="32"/>
      <c r="J6" s="15"/>
    </row>
    <row r="7">
      <c r="D7" s="11" t="s">
        <v>22</v>
      </c>
      <c r="E7" s="15">
        <v>0.16666666666666666</v>
      </c>
      <c r="F7" s="15">
        <v>1.0</v>
      </c>
      <c r="G7" s="28">
        <f t="shared" si="1"/>
        <v>0.8333333333</v>
      </c>
      <c r="H7" s="30"/>
      <c r="I7" s="32"/>
      <c r="J7" s="15"/>
    </row>
    <row r="8">
      <c r="D8" s="11" t="s">
        <v>23</v>
      </c>
      <c r="E8" s="15">
        <v>0.16666666666666666</v>
      </c>
      <c r="F8" s="15">
        <v>0.0625</v>
      </c>
      <c r="G8" s="28">
        <f t="shared" si="1"/>
        <v>-0.1041666667</v>
      </c>
      <c r="H8" s="30"/>
      <c r="I8" s="32"/>
      <c r="J8" s="15"/>
    </row>
    <row r="9">
      <c r="D9" s="11" t="s">
        <v>24</v>
      </c>
      <c r="E9" s="15">
        <v>0.25</v>
      </c>
      <c r="F9" s="15">
        <v>0.9166666666666666</v>
      </c>
      <c r="G9" s="28">
        <f t="shared" si="1"/>
        <v>0.6666666667</v>
      </c>
      <c r="H9" s="30"/>
      <c r="I9" s="32"/>
      <c r="J9" s="15"/>
    </row>
    <row r="13">
      <c r="B13" s="2" t="s">
        <v>38</v>
      </c>
      <c r="C13" s="2" t="s">
        <v>41</v>
      </c>
    </row>
    <row r="14">
      <c r="B14" s="43">
        <v>17.0</v>
      </c>
      <c r="C14" s="47">
        <f t="shared" ref="C14:C17" si="2">B14*$B$4</f>
        <v>7650</v>
      </c>
    </row>
    <row r="15">
      <c r="B15" s="43">
        <v>18.0</v>
      </c>
      <c r="C15" s="47">
        <f t="shared" si="2"/>
        <v>8100</v>
      </c>
    </row>
    <row r="16">
      <c r="B16" s="43">
        <v>19.0</v>
      </c>
      <c r="C16" s="47">
        <f t="shared" si="2"/>
        <v>8550</v>
      </c>
    </row>
    <row r="17">
      <c r="B17" s="43">
        <v>20.0</v>
      </c>
      <c r="C17" s="47">
        <f t="shared" si="2"/>
        <v>9000</v>
      </c>
    </row>
    <row r="20">
      <c r="B20" s="43"/>
      <c r="C20" s="4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Col="1"/>
  <cols>
    <col customWidth="1" min="2" max="2" width="17.25"/>
    <col customWidth="1" min="3" max="3" width="28.13"/>
    <col customWidth="1" min="4" max="5" width="10.25"/>
    <col customWidth="1" min="6" max="6" width="7.25"/>
    <col customWidth="1" min="7" max="9" width="7.0"/>
    <col customWidth="1" min="10" max="10" width="7.75"/>
    <col customWidth="1" min="11" max="11" width="5.75"/>
    <col customWidth="1" min="12" max="12" width="6.38"/>
    <col customWidth="1" min="13" max="14" width="6.88"/>
    <col customWidth="1" min="15" max="15" width="3.5"/>
    <col customWidth="1" min="16" max="16" width="14.63"/>
  </cols>
  <sheetData>
    <row r="1">
      <c r="A1" s="1"/>
    </row>
    <row r="2">
      <c r="B2" s="3" t="s">
        <v>1</v>
      </c>
      <c r="N2" s="3"/>
    </row>
    <row r="3">
      <c r="B3" s="5" t="s">
        <v>9</v>
      </c>
      <c r="C3" s="5" t="s">
        <v>12</v>
      </c>
      <c r="D3" s="5" t="s">
        <v>13</v>
      </c>
      <c r="E3" s="5" t="s">
        <v>14</v>
      </c>
      <c r="F3" s="9" t="s">
        <v>2</v>
      </c>
      <c r="G3" s="10"/>
      <c r="H3" s="10"/>
      <c r="I3" s="10"/>
      <c r="J3" s="10"/>
      <c r="K3" s="10"/>
      <c r="L3" s="10"/>
      <c r="M3" s="10"/>
      <c r="N3" s="12"/>
    </row>
    <row r="4">
      <c r="B4" s="14"/>
      <c r="C4" s="14"/>
      <c r="D4" s="14"/>
      <c r="E4" s="14"/>
      <c r="F4" s="11" t="s">
        <v>16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26</v>
      </c>
    </row>
    <row r="5">
      <c r="B5" s="17" t="s">
        <v>27</v>
      </c>
      <c r="C5" s="17" t="s">
        <v>29</v>
      </c>
      <c r="D5" s="19">
        <v>46023.0</v>
      </c>
      <c r="E5" s="21">
        <v>46387.0</v>
      </c>
      <c r="F5" s="23">
        <v>450.0</v>
      </c>
      <c r="G5" s="23"/>
      <c r="H5" s="23"/>
      <c r="I5" s="23">
        <v>450.0</v>
      </c>
      <c r="J5" s="23">
        <v>450.0</v>
      </c>
      <c r="K5" s="25"/>
      <c r="L5" s="23">
        <v>450.0</v>
      </c>
      <c r="M5" s="25"/>
      <c r="N5" s="25"/>
      <c r="O5" s="6" t="b">
        <v>0</v>
      </c>
    </row>
    <row r="6">
      <c r="B6" s="17" t="s">
        <v>32</v>
      </c>
      <c r="C6" s="17" t="s">
        <v>34</v>
      </c>
      <c r="D6" s="19">
        <v>46024.0</v>
      </c>
      <c r="E6" s="21">
        <v>46388.0</v>
      </c>
      <c r="F6" s="23">
        <v>450.0</v>
      </c>
      <c r="G6" s="23"/>
      <c r="H6" s="23"/>
      <c r="I6" s="23"/>
      <c r="J6" s="23"/>
      <c r="K6" s="25"/>
      <c r="L6" s="23"/>
      <c r="M6" s="25"/>
      <c r="N6" s="25"/>
      <c r="O6" s="6" t="b">
        <v>0</v>
      </c>
    </row>
    <row r="7">
      <c r="B7" s="35" t="s">
        <v>35</v>
      </c>
      <c r="C7" s="35" t="s">
        <v>36</v>
      </c>
      <c r="D7" s="37">
        <v>45855.0</v>
      </c>
      <c r="E7" s="39">
        <v>46038.0</v>
      </c>
      <c r="F7" s="25"/>
      <c r="G7" s="25"/>
      <c r="H7" s="25"/>
      <c r="I7" s="25"/>
      <c r="J7" s="41">
        <v>600.0</v>
      </c>
      <c r="K7" s="25"/>
      <c r="L7" s="25"/>
      <c r="M7" s="25"/>
      <c r="N7" s="25"/>
      <c r="O7" s="6" t="b">
        <v>1</v>
      </c>
    </row>
    <row r="8">
      <c r="B8" s="35" t="s">
        <v>39</v>
      </c>
      <c r="C8" s="35" t="s">
        <v>40</v>
      </c>
      <c r="D8" s="37">
        <v>45712.0</v>
      </c>
      <c r="E8" s="39">
        <v>46076.0</v>
      </c>
      <c r="F8" s="25"/>
      <c r="G8" s="41"/>
      <c r="H8" s="41"/>
      <c r="I8" s="41">
        <v>300.0</v>
      </c>
      <c r="J8" s="25"/>
      <c r="K8" s="25"/>
      <c r="L8" s="25"/>
      <c r="M8" s="25"/>
      <c r="N8" s="25"/>
      <c r="O8" s="6" t="b">
        <v>1</v>
      </c>
    </row>
    <row r="9">
      <c r="B9" s="35" t="s">
        <v>43</v>
      </c>
      <c r="C9" s="35" t="s">
        <v>44</v>
      </c>
      <c r="D9" s="37">
        <v>45943.0</v>
      </c>
      <c r="E9" s="45">
        <v>46022.0</v>
      </c>
      <c r="F9" s="25"/>
      <c r="G9" s="25"/>
      <c r="H9" s="25"/>
      <c r="I9" s="25"/>
      <c r="J9" s="25"/>
      <c r="K9" s="41">
        <v>600.0</v>
      </c>
      <c r="L9" s="50"/>
      <c r="M9" s="50"/>
      <c r="N9" s="50"/>
      <c r="O9" s="6" t="b">
        <v>1</v>
      </c>
    </row>
    <row r="10">
      <c r="B10" s="35" t="s">
        <v>43</v>
      </c>
      <c r="C10" s="35" t="s">
        <v>46</v>
      </c>
      <c r="D10" s="37">
        <v>45943.0</v>
      </c>
      <c r="E10" s="45">
        <v>46022.0</v>
      </c>
      <c r="F10" s="25"/>
      <c r="G10" s="25"/>
      <c r="H10" s="25"/>
      <c r="I10" s="25"/>
      <c r="J10" s="25"/>
      <c r="K10" s="41">
        <v>600.0</v>
      </c>
      <c r="L10" s="25"/>
      <c r="M10" s="25"/>
      <c r="N10" s="25"/>
      <c r="O10" s="6" t="b">
        <v>1</v>
      </c>
    </row>
    <row r="11">
      <c r="B11" s="35" t="s">
        <v>47</v>
      </c>
      <c r="C11" s="17" t="s">
        <v>49</v>
      </c>
      <c r="D11" s="37">
        <v>45962.0</v>
      </c>
      <c r="E11" s="45">
        <v>46022.0</v>
      </c>
      <c r="F11" s="41">
        <v>900.0</v>
      </c>
      <c r="G11" s="25"/>
      <c r="H11" s="25"/>
      <c r="I11" s="25"/>
      <c r="J11" s="25"/>
      <c r="K11" s="25"/>
      <c r="L11" s="41">
        <v>900.0</v>
      </c>
      <c r="M11" s="25"/>
      <c r="N11" s="25"/>
      <c r="O11" s="6" t="b">
        <v>1</v>
      </c>
    </row>
    <row r="12">
      <c r="B12" s="35" t="s">
        <v>51</v>
      </c>
      <c r="C12" s="35" t="s">
        <v>52</v>
      </c>
      <c r="D12" s="37">
        <v>45983.0</v>
      </c>
      <c r="E12" s="39">
        <v>46043.0</v>
      </c>
      <c r="F12" s="25"/>
      <c r="G12" s="25"/>
      <c r="H12" s="25"/>
      <c r="I12" s="25"/>
      <c r="J12" s="41">
        <v>450.0</v>
      </c>
      <c r="K12" s="25"/>
      <c r="L12" s="25"/>
      <c r="M12" s="25"/>
      <c r="N12" s="25"/>
      <c r="O12" s="6" t="b">
        <v>0</v>
      </c>
    </row>
    <row r="13">
      <c r="B13" s="35" t="s">
        <v>53</v>
      </c>
      <c r="C13" s="35" t="s">
        <v>54</v>
      </c>
      <c r="D13" s="37">
        <v>45933.0</v>
      </c>
      <c r="E13" s="39">
        <v>46024.0</v>
      </c>
      <c r="F13" s="41">
        <v>450.0</v>
      </c>
      <c r="G13" s="25"/>
      <c r="H13" s="25"/>
      <c r="I13" s="25"/>
      <c r="J13" s="41">
        <v>450.0</v>
      </c>
      <c r="K13" s="25"/>
      <c r="L13" s="25"/>
      <c r="M13" s="25"/>
      <c r="N13" s="25"/>
      <c r="O13" s="6" t="b">
        <v>1</v>
      </c>
    </row>
    <row r="14">
      <c r="B14" s="35" t="s">
        <v>53</v>
      </c>
      <c r="C14" s="35" t="s">
        <v>54</v>
      </c>
      <c r="D14" s="19">
        <v>46025.0</v>
      </c>
      <c r="E14" s="21">
        <v>46115.0</v>
      </c>
      <c r="F14" s="41">
        <v>450.0</v>
      </c>
      <c r="G14" s="25"/>
      <c r="H14" s="25"/>
      <c r="I14" s="25"/>
      <c r="J14" s="41">
        <v>450.0</v>
      </c>
      <c r="K14" s="25"/>
      <c r="L14" s="25"/>
      <c r="M14" s="25"/>
      <c r="N14" s="25"/>
      <c r="O14" s="6" t="b">
        <v>1</v>
      </c>
    </row>
    <row r="15">
      <c r="B15" s="35" t="s">
        <v>56</v>
      </c>
      <c r="C15" s="35" t="s">
        <v>57</v>
      </c>
      <c r="D15" s="37">
        <v>45931.0</v>
      </c>
      <c r="E15" s="45">
        <v>46021.0</v>
      </c>
      <c r="F15" s="41">
        <v>450.0</v>
      </c>
      <c r="G15" s="41"/>
      <c r="H15" s="41"/>
      <c r="I15" s="41">
        <v>450.0</v>
      </c>
      <c r="J15" s="25"/>
      <c r="K15" s="25"/>
      <c r="L15" s="25"/>
      <c r="M15" s="25"/>
      <c r="N15" s="25"/>
      <c r="O15" s="6" t="b">
        <v>1</v>
      </c>
    </row>
    <row r="16">
      <c r="B16" s="35" t="s">
        <v>59</v>
      </c>
      <c r="C16" s="35" t="s">
        <v>40</v>
      </c>
      <c r="D16" s="37">
        <v>45962.0</v>
      </c>
      <c r="E16" s="45">
        <v>46022.0</v>
      </c>
      <c r="F16" s="41">
        <v>450.0</v>
      </c>
      <c r="G16" s="41"/>
      <c r="H16" s="41"/>
      <c r="I16" s="41">
        <v>450.0</v>
      </c>
      <c r="J16" s="41">
        <v>450.0</v>
      </c>
      <c r="K16" s="25"/>
      <c r="L16" s="41">
        <v>450.0</v>
      </c>
      <c r="M16" s="41">
        <v>450.0</v>
      </c>
      <c r="N16" s="41"/>
      <c r="O16" s="6" t="b">
        <v>1</v>
      </c>
    </row>
    <row r="17">
      <c r="B17" s="35" t="s">
        <v>60</v>
      </c>
      <c r="C17" s="35" t="s">
        <v>61</v>
      </c>
      <c r="D17" s="37">
        <v>46006.0</v>
      </c>
      <c r="E17" s="39">
        <v>46036.0</v>
      </c>
      <c r="F17" s="25"/>
      <c r="G17" s="25"/>
      <c r="H17" s="25"/>
      <c r="I17" s="25"/>
      <c r="J17" s="25"/>
      <c r="K17" s="41">
        <v>300.0</v>
      </c>
      <c r="L17" s="25"/>
      <c r="M17" s="25"/>
      <c r="N17" s="25"/>
      <c r="O17" s="6" t="b">
        <v>1</v>
      </c>
    </row>
    <row r="18">
      <c r="B18" s="35" t="s">
        <v>60</v>
      </c>
      <c r="C18" s="35" t="s">
        <v>63</v>
      </c>
      <c r="D18" s="37">
        <v>45998.0</v>
      </c>
      <c r="E18" s="39">
        <v>46028.0</v>
      </c>
      <c r="F18" s="25"/>
      <c r="G18" s="25"/>
      <c r="H18" s="25"/>
      <c r="I18" s="25"/>
      <c r="J18" s="25"/>
      <c r="K18" s="41">
        <v>300.0</v>
      </c>
      <c r="L18" s="25"/>
      <c r="M18" s="25"/>
      <c r="N18" s="25"/>
      <c r="O18" s="6" t="b">
        <v>1</v>
      </c>
    </row>
    <row r="19">
      <c r="B19" s="59" t="s">
        <v>64</v>
      </c>
      <c r="C19" s="35" t="s">
        <v>65</v>
      </c>
      <c r="D19" s="37">
        <v>46002.0</v>
      </c>
      <c r="E19" s="21">
        <v>46022.0</v>
      </c>
      <c r="F19" s="41">
        <v>450.0</v>
      </c>
      <c r="G19" s="41"/>
      <c r="H19" s="41"/>
      <c r="I19" s="41">
        <v>450.0</v>
      </c>
      <c r="J19" s="25"/>
      <c r="K19" s="25"/>
      <c r="L19" s="25"/>
      <c r="M19" s="25"/>
      <c r="N19" s="25"/>
      <c r="O19" s="6" t="b">
        <v>1</v>
      </c>
    </row>
    <row r="20">
      <c r="B20" s="35" t="s">
        <v>66</v>
      </c>
      <c r="C20" s="35" t="s">
        <v>67</v>
      </c>
      <c r="D20" s="37">
        <v>45959.0</v>
      </c>
      <c r="E20" s="45">
        <v>46019.0</v>
      </c>
      <c r="F20" s="25"/>
      <c r="G20" s="41"/>
      <c r="H20" s="41"/>
      <c r="I20" s="41">
        <v>1800.0</v>
      </c>
      <c r="J20" s="25"/>
      <c r="K20" s="41">
        <v>1800.0</v>
      </c>
      <c r="L20" s="41">
        <v>1800.0</v>
      </c>
      <c r="M20" s="25"/>
      <c r="N20" s="25"/>
      <c r="O20" s="6" t="b">
        <v>1</v>
      </c>
    </row>
    <row r="21">
      <c r="B21" s="35" t="s">
        <v>68</v>
      </c>
      <c r="C21" s="35" t="s">
        <v>69</v>
      </c>
      <c r="D21" s="37">
        <v>45951.0</v>
      </c>
      <c r="E21" s="39">
        <v>46042.0</v>
      </c>
      <c r="F21" s="25"/>
      <c r="G21" s="25"/>
      <c r="H21" s="25"/>
      <c r="I21" s="25"/>
      <c r="J21" s="41">
        <v>450.0</v>
      </c>
      <c r="K21" s="25"/>
      <c r="L21" s="25"/>
      <c r="M21" s="25"/>
      <c r="N21" s="25"/>
      <c r="O21" s="6" t="b">
        <v>1</v>
      </c>
    </row>
    <row r="22">
      <c r="B22" s="35" t="s">
        <v>68</v>
      </c>
      <c r="C22" s="35" t="s">
        <v>69</v>
      </c>
      <c r="D22" s="37">
        <v>46043.0</v>
      </c>
      <c r="E22" s="39">
        <v>46073.0</v>
      </c>
      <c r="F22" s="25"/>
      <c r="G22" s="25"/>
      <c r="H22" s="25"/>
      <c r="I22" s="25"/>
      <c r="J22" s="41">
        <v>450.0</v>
      </c>
      <c r="K22" s="25"/>
      <c r="L22" s="25"/>
      <c r="M22" s="25"/>
      <c r="N22" s="25"/>
      <c r="O22" s="6" t="b">
        <v>1</v>
      </c>
    </row>
    <row r="23">
      <c r="B23" s="35" t="s">
        <v>72</v>
      </c>
      <c r="C23" s="35" t="s">
        <v>73</v>
      </c>
      <c r="D23" s="37">
        <v>45962.0</v>
      </c>
      <c r="E23" s="45">
        <v>46022.0</v>
      </c>
      <c r="F23" s="25"/>
      <c r="G23" s="41"/>
      <c r="H23" s="41"/>
      <c r="I23" s="41">
        <v>450.0</v>
      </c>
      <c r="J23" s="41">
        <v>450.0</v>
      </c>
      <c r="K23" s="41">
        <v>450.0</v>
      </c>
      <c r="L23" s="41">
        <v>450.0</v>
      </c>
      <c r="M23" s="25"/>
      <c r="N23" s="25"/>
      <c r="O23" s="6" t="b">
        <v>1</v>
      </c>
    </row>
    <row r="24">
      <c r="B24" s="35" t="s">
        <v>76</v>
      </c>
      <c r="C24" s="35" t="s">
        <v>78</v>
      </c>
      <c r="D24" s="37">
        <v>45996.0</v>
      </c>
      <c r="E24" s="39">
        <v>46026.0</v>
      </c>
      <c r="F24" s="41">
        <v>450.0</v>
      </c>
      <c r="G24" s="41"/>
      <c r="H24" s="41"/>
      <c r="I24" s="41">
        <v>450.0</v>
      </c>
      <c r="J24" s="41">
        <v>450.0</v>
      </c>
      <c r="K24" s="41">
        <v>450.0</v>
      </c>
      <c r="L24" s="41">
        <v>450.0</v>
      </c>
      <c r="M24" s="25"/>
      <c r="N24" s="25"/>
      <c r="O24" s="6" t="b">
        <v>1</v>
      </c>
    </row>
    <row r="25">
      <c r="B25" s="35" t="s">
        <v>80</v>
      </c>
      <c r="C25" s="35" t="s">
        <v>81</v>
      </c>
      <c r="D25" s="37">
        <v>45992.0</v>
      </c>
      <c r="E25" s="39">
        <v>46044.0</v>
      </c>
      <c r="F25" s="41">
        <v>450.0</v>
      </c>
      <c r="G25" s="41"/>
      <c r="H25" s="41"/>
      <c r="I25" s="41">
        <v>450.0</v>
      </c>
      <c r="J25" s="41">
        <v>450.0</v>
      </c>
      <c r="K25" s="41">
        <v>450.0</v>
      </c>
      <c r="L25" s="41">
        <v>450.0</v>
      </c>
      <c r="M25" s="25"/>
      <c r="N25" s="25"/>
      <c r="O25" s="6" t="b">
        <v>1</v>
      </c>
    </row>
    <row r="26">
      <c r="B26" s="35" t="s">
        <v>33</v>
      </c>
      <c r="C26" s="35" t="s">
        <v>82</v>
      </c>
      <c r="D26" s="37">
        <v>45992.0</v>
      </c>
      <c r="E26" s="45">
        <v>46022.0</v>
      </c>
      <c r="F26" s="25"/>
      <c r="G26" s="25"/>
      <c r="H26" s="25"/>
      <c r="I26" s="25"/>
      <c r="J26" s="25"/>
      <c r="K26" s="41">
        <v>450.0</v>
      </c>
      <c r="L26" s="41">
        <v>450.0</v>
      </c>
      <c r="M26" s="25"/>
      <c r="N26" s="25"/>
      <c r="O26" s="6" t="b">
        <v>1</v>
      </c>
    </row>
    <row r="27">
      <c r="B27" s="35" t="s">
        <v>33</v>
      </c>
      <c r="C27" s="35" t="s">
        <v>82</v>
      </c>
      <c r="D27" s="19">
        <v>46023.0</v>
      </c>
      <c r="E27" s="21">
        <v>46053.0</v>
      </c>
      <c r="F27" s="25"/>
      <c r="G27" s="25"/>
      <c r="H27" s="25"/>
      <c r="I27" s="25"/>
      <c r="J27" s="25"/>
      <c r="K27" s="41">
        <v>450.0</v>
      </c>
      <c r="L27" s="41">
        <v>450.0</v>
      </c>
      <c r="M27" s="25"/>
      <c r="N27" s="25"/>
      <c r="O27" s="6" t="b">
        <v>1</v>
      </c>
    </row>
    <row r="28">
      <c r="B28" s="35" t="s">
        <v>83</v>
      </c>
      <c r="C28" s="35" t="s">
        <v>40</v>
      </c>
      <c r="D28" s="37">
        <v>45968.0</v>
      </c>
      <c r="E28" s="39">
        <v>46028.0</v>
      </c>
      <c r="F28" s="25"/>
      <c r="G28" s="25"/>
      <c r="H28" s="25"/>
      <c r="I28" s="25"/>
      <c r="J28" s="25"/>
      <c r="K28" s="41">
        <v>300.0</v>
      </c>
      <c r="L28" s="25"/>
      <c r="M28" s="25"/>
      <c r="N28" s="25"/>
      <c r="O28" s="6" t="b">
        <v>1</v>
      </c>
    </row>
    <row r="29">
      <c r="B29" s="35" t="s">
        <v>84</v>
      </c>
      <c r="C29" s="35" t="s">
        <v>85</v>
      </c>
      <c r="D29" s="37">
        <v>45965.0</v>
      </c>
      <c r="E29" s="39">
        <v>46025.0</v>
      </c>
      <c r="F29" s="25"/>
      <c r="G29" s="25"/>
      <c r="H29" s="25"/>
      <c r="I29" s="25"/>
      <c r="J29" s="25"/>
      <c r="K29" s="25"/>
      <c r="L29" s="41">
        <v>300.0</v>
      </c>
      <c r="M29" s="25"/>
      <c r="N29" s="25"/>
      <c r="O29" s="6" t="b">
        <v>1</v>
      </c>
    </row>
    <row r="30">
      <c r="B30" s="35" t="s">
        <v>84</v>
      </c>
      <c r="C30" s="35" t="s">
        <v>86</v>
      </c>
      <c r="D30" s="37">
        <v>45976.0</v>
      </c>
      <c r="E30" s="45">
        <v>46022.0</v>
      </c>
      <c r="F30" s="41">
        <v>300.0</v>
      </c>
      <c r="G30" s="25"/>
      <c r="H30" s="25"/>
      <c r="I30" s="25"/>
      <c r="J30" s="41">
        <v>300.0</v>
      </c>
      <c r="K30" s="25"/>
      <c r="L30" s="25"/>
      <c r="M30" s="25"/>
      <c r="N30" s="25"/>
      <c r="O30" s="6" t="b">
        <v>1</v>
      </c>
      <c r="U30" s="62"/>
    </row>
    <row r="31">
      <c r="B31" s="35" t="s">
        <v>89</v>
      </c>
      <c r="C31" s="35" t="s">
        <v>82</v>
      </c>
      <c r="D31" s="37">
        <v>45992.0</v>
      </c>
      <c r="E31" s="45">
        <v>46022.0</v>
      </c>
      <c r="F31" s="25"/>
      <c r="G31" s="25"/>
      <c r="H31" s="25"/>
      <c r="I31" s="25"/>
      <c r="J31" s="25"/>
      <c r="K31" s="41">
        <v>300.0</v>
      </c>
      <c r="L31" s="25"/>
      <c r="M31" s="25"/>
      <c r="N31" s="25"/>
      <c r="O31" s="6" t="b">
        <v>1</v>
      </c>
      <c r="S31" s="64"/>
    </row>
    <row r="32">
      <c r="B32" s="35" t="s">
        <v>90</v>
      </c>
      <c r="C32" s="35" t="s">
        <v>40</v>
      </c>
      <c r="D32" s="37">
        <v>45986.0</v>
      </c>
      <c r="E32" s="39">
        <v>46077.0</v>
      </c>
      <c r="F32" s="25"/>
      <c r="G32" s="25"/>
      <c r="H32" s="25"/>
      <c r="I32" s="25"/>
      <c r="J32" s="25"/>
      <c r="K32" s="41">
        <v>300.0</v>
      </c>
      <c r="L32" s="25"/>
      <c r="M32" s="25"/>
      <c r="N32" s="25"/>
      <c r="O32" s="6" t="b">
        <v>1</v>
      </c>
    </row>
    <row r="33">
      <c r="B33" s="35" t="s">
        <v>94</v>
      </c>
      <c r="C33" s="35" t="s">
        <v>95</v>
      </c>
      <c r="D33" s="37">
        <v>45985.0</v>
      </c>
      <c r="E33" s="66">
        <v>46014.0</v>
      </c>
      <c r="F33" s="25"/>
      <c r="G33" s="41"/>
      <c r="H33" s="41"/>
      <c r="I33" s="41">
        <v>450.0</v>
      </c>
      <c r="J33" s="41">
        <v>450.0</v>
      </c>
      <c r="K33" s="25"/>
      <c r="L33" s="25"/>
      <c r="M33" s="41">
        <v>450.0</v>
      </c>
      <c r="N33" s="41"/>
      <c r="O33" s="6" t="b">
        <v>1</v>
      </c>
    </row>
    <row r="34">
      <c r="B34" s="35" t="s">
        <v>27</v>
      </c>
      <c r="C34" s="35" t="s">
        <v>96</v>
      </c>
      <c r="D34" s="37">
        <v>45992.0</v>
      </c>
      <c r="E34" s="67">
        <v>46043.0</v>
      </c>
      <c r="F34" s="25"/>
      <c r="G34" s="25"/>
      <c r="H34" s="25"/>
      <c r="I34" s="25"/>
      <c r="J34" s="25"/>
      <c r="K34" s="41">
        <v>450.0</v>
      </c>
      <c r="L34" s="25"/>
      <c r="M34" s="25"/>
      <c r="N34" s="25"/>
      <c r="O34" s="6" t="b">
        <v>1</v>
      </c>
    </row>
    <row r="35">
      <c r="B35" s="35" t="s">
        <v>27</v>
      </c>
      <c r="C35" s="35" t="s">
        <v>97</v>
      </c>
      <c r="D35" s="37">
        <v>45992.0</v>
      </c>
      <c r="E35" s="67">
        <v>46044.0</v>
      </c>
      <c r="F35" s="25"/>
      <c r="G35" s="25"/>
      <c r="H35" s="25"/>
      <c r="I35" s="25"/>
      <c r="J35" s="25"/>
      <c r="K35" s="41">
        <v>450.0</v>
      </c>
      <c r="L35" s="25"/>
      <c r="M35" s="25"/>
      <c r="N35" s="25"/>
      <c r="O35" s="6" t="b">
        <v>1</v>
      </c>
    </row>
    <row r="36">
      <c r="B36" s="35" t="s">
        <v>98</v>
      </c>
      <c r="C36" s="35" t="s">
        <v>99</v>
      </c>
      <c r="D36" s="37">
        <v>45992.0</v>
      </c>
      <c r="E36" s="39">
        <v>46356.0</v>
      </c>
      <c r="F36" s="25"/>
      <c r="G36" s="25"/>
      <c r="H36" s="25"/>
      <c r="I36" s="25"/>
      <c r="J36" s="25"/>
      <c r="K36" s="41">
        <v>300.0</v>
      </c>
      <c r="L36" s="25"/>
      <c r="M36" s="25"/>
      <c r="N36" s="25"/>
      <c r="O36" s="6" t="b">
        <v>0</v>
      </c>
    </row>
    <row r="37">
      <c r="B37" s="35" t="s">
        <v>33</v>
      </c>
      <c r="C37" s="35" t="s">
        <v>101</v>
      </c>
      <c r="D37" s="37">
        <v>45992.0</v>
      </c>
      <c r="E37" s="45">
        <v>46022.0</v>
      </c>
      <c r="F37" s="25"/>
      <c r="G37" s="25"/>
      <c r="H37" s="25"/>
      <c r="I37" s="25"/>
      <c r="J37" s="25"/>
      <c r="K37" s="41">
        <v>300.0</v>
      </c>
      <c r="L37" s="41">
        <v>450.0</v>
      </c>
      <c r="M37" s="25"/>
      <c r="N37" s="25"/>
      <c r="O37" s="6" t="b">
        <v>1</v>
      </c>
    </row>
    <row r="38">
      <c r="B38" s="35" t="s">
        <v>103</v>
      </c>
      <c r="C38" s="35" t="s">
        <v>40</v>
      </c>
      <c r="D38" s="37">
        <v>45989.0</v>
      </c>
      <c r="E38" s="39">
        <v>46080.0</v>
      </c>
      <c r="F38" s="25"/>
      <c r="G38" s="25"/>
      <c r="H38" s="25"/>
      <c r="I38" s="25"/>
      <c r="J38" s="41">
        <v>600.0</v>
      </c>
      <c r="K38" s="25"/>
      <c r="L38" s="25"/>
      <c r="M38" s="25"/>
      <c r="N38" s="25"/>
      <c r="O38" s="6" t="b">
        <v>1</v>
      </c>
    </row>
    <row r="39">
      <c r="B39" s="35" t="s">
        <v>104</v>
      </c>
      <c r="C39" s="35" t="s">
        <v>105</v>
      </c>
      <c r="D39" s="37">
        <v>45994.0</v>
      </c>
      <c r="E39" s="39">
        <v>46024.0</v>
      </c>
      <c r="F39" s="25"/>
      <c r="G39" s="25"/>
      <c r="H39" s="25"/>
      <c r="I39" s="25"/>
      <c r="J39" s="25"/>
      <c r="K39" s="25"/>
      <c r="L39" s="41">
        <v>450.0</v>
      </c>
      <c r="M39" s="25"/>
      <c r="N39" s="25"/>
      <c r="O39" s="6" t="b">
        <v>1</v>
      </c>
    </row>
    <row r="40">
      <c r="B40" s="35" t="s">
        <v>106</v>
      </c>
      <c r="C40" s="35" t="s">
        <v>107</v>
      </c>
      <c r="D40" s="37">
        <v>45992.0</v>
      </c>
      <c r="E40" s="45">
        <v>46022.0</v>
      </c>
      <c r="F40" s="41">
        <v>450.0</v>
      </c>
      <c r="G40" s="41"/>
      <c r="H40" s="41"/>
      <c r="I40" s="41">
        <v>450.0</v>
      </c>
      <c r="J40" s="41">
        <v>450.0</v>
      </c>
      <c r="K40" s="25"/>
      <c r="L40" s="41">
        <v>450.0</v>
      </c>
      <c r="M40" s="25"/>
      <c r="N40" s="25"/>
      <c r="O40" s="6" t="b">
        <v>1</v>
      </c>
    </row>
    <row r="41">
      <c r="B41" s="35" t="s">
        <v>109</v>
      </c>
      <c r="C41" s="35" t="s">
        <v>73</v>
      </c>
      <c r="D41" s="37">
        <v>45992.0</v>
      </c>
      <c r="E41" s="45">
        <v>46022.0</v>
      </c>
      <c r="F41" s="69"/>
      <c r="G41" s="69"/>
      <c r="H41" s="69"/>
      <c r="I41" s="69"/>
      <c r="J41" s="69"/>
      <c r="K41" s="69"/>
      <c r="L41" s="70">
        <v>300.0</v>
      </c>
      <c r="M41" s="69"/>
      <c r="N41" s="69"/>
      <c r="O41" s="6" t="b">
        <v>1</v>
      </c>
    </row>
    <row r="42">
      <c r="B42" s="35" t="s">
        <v>110</v>
      </c>
      <c r="C42" s="35" t="s">
        <v>111</v>
      </c>
      <c r="D42" s="37">
        <v>45992.0</v>
      </c>
      <c r="E42" s="21">
        <v>46053.0</v>
      </c>
      <c r="F42" s="70">
        <v>450.0</v>
      </c>
      <c r="G42" s="69"/>
      <c r="H42" s="69"/>
      <c r="I42" s="69"/>
      <c r="J42" s="69"/>
      <c r="K42" s="69"/>
      <c r="L42" s="69"/>
      <c r="M42" s="69"/>
      <c r="N42" s="69"/>
      <c r="O42" s="6" t="b">
        <v>1</v>
      </c>
    </row>
    <row r="43">
      <c r="B43" s="35" t="s">
        <v>112</v>
      </c>
      <c r="C43" s="35" t="s">
        <v>113</v>
      </c>
      <c r="D43" s="37">
        <v>45992.0</v>
      </c>
      <c r="E43" s="45">
        <v>46022.0</v>
      </c>
      <c r="F43" s="25"/>
      <c r="G43" s="25"/>
      <c r="H43" s="25"/>
      <c r="I43" s="25"/>
      <c r="J43" s="41">
        <v>450.0</v>
      </c>
      <c r="K43" s="41">
        <v>450.0</v>
      </c>
      <c r="L43" s="41">
        <v>450.0</v>
      </c>
      <c r="M43" s="25"/>
      <c r="N43" s="25"/>
      <c r="O43" s="6" t="b">
        <v>1</v>
      </c>
    </row>
    <row r="44">
      <c r="B44" s="35" t="s">
        <v>115</v>
      </c>
      <c r="C44" s="35" t="s">
        <v>117</v>
      </c>
      <c r="D44" s="37">
        <v>45992.0</v>
      </c>
      <c r="E44" s="45">
        <v>46022.0</v>
      </c>
      <c r="F44" s="25"/>
      <c r="G44" s="25"/>
      <c r="H44" s="25"/>
      <c r="I44" s="25"/>
      <c r="J44" s="25"/>
      <c r="K44" s="41">
        <v>450.0</v>
      </c>
      <c r="L44" s="41">
        <v>450.0</v>
      </c>
      <c r="M44" s="41">
        <v>450.0</v>
      </c>
      <c r="N44" s="41"/>
      <c r="O44" s="6" t="b">
        <v>1</v>
      </c>
    </row>
    <row r="45">
      <c r="B45" s="35" t="s">
        <v>118</v>
      </c>
      <c r="C45" s="35" t="s">
        <v>119</v>
      </c>
      <c r="D45" s="37">
        <v>45992.0</v>
      </c>
      <c r="E45" s="45">
        <v>46022.0</v>
      </c>
      <c r="F45" s="41">
        <v>300.0</v>
      </c>
      <c r="G45" s="41"/>
      <c r="H45" s="41"/>
      <c r="I45" s="41">
        <v>300.0</v>
      </c>
      <c r="J45" s="25"/>
      <c r="K45" s="25"/>
      <c r="L45" s="25"/>
      <c r="M45" s="41">
        <v>900.0</v>
      </c>
      <c r="N45" s="41"/>
      <c r="O45" s="6" t="b">
        <v>1</v>
      </c>
    </row>
    <row r="46">
      <c r="B46" s="35" t="s">
        <v>121</v>
      </c>
      <c r="C46" s="35" t="s">
        <v>122</v>
      </c>
      <c r="D46" s="37">
        <v>45992.0</v>
      </c>
      <c r="E46" s="45">
        <v>46022.0</v>
      </c>
      <c r="F46" s="25"/>
      <c r="G46" s="25"/>
      <c r="H46" s="25"/>
      <c r="I46" s="25"/>
      <c r="J46" s="25"/>
      <c r="K46" s="41">
        <v>300.0</v>
      </c>
      <c r="L46" s="25"/>
      <c r="M46" s="25"/>
      <c r="N46" s="25"/>
      <c r="O46" s="6" t="b">
        <v>1</v>
      </c>
    </row>
    <row r="47">
      <c r="B47" s="17" t="s">
        <v>121</v>
      </c>
      <c r="C47" s="17" t="s">
        <v>123</v>
      </c>
      <c r="D47" s="19">
        <v>46011.0</v>
      </c>
      <c r="E47" s="21">
        <v>46041.0</v>
      </c>
      <c r="F47" s="41">
        <v>300.0</v>
      </c>
      <c r="G47" s="41"/>
      <c r="H47" s="41"/>
      <c r="I47" s="41"/>
      <c r="J47" s="41"/>
      <c r="K47" s="41"/>
      <c r="L47" s="41"/>
      <c r="M47" s="41"/>
      <c r="N47" s="41"/>
      <c r="O47" s="6" t="b">
        <v>1</v>
      </c>
    </row>
    <row r="48">
      <c r="B48" s="35" t="s">
        <v>89</v>
      </c>
      <c r="C48" s="35" t="s">
        <v>82</v>
      </c>
      <c r="D48" s="37">
        <v>45992.0</v>
      </c>
      <c r="E48" s="45">
        <v>46022.0</v>
      </c>
      <c r="F48" s="25"/>
      <c r="G48" s="25"/>
      <c r="H48" s="25"/>
      <c r="I48" s="25"/>
      <c r="J48" s="25"/>
      <c r="K48" s="41">
        <v>300.0</v>
      </c>
      <c r="L48" s="25"/>
      <c r="M48" s="25"/>
      <c r="N48" s="25"/>
      <c r="O48" s="6" t="b">
        <v>1</v>
      </c>
    </row>
    <row r="49">
      <c r="B49" s="35" t="s">
        <v>60</v>
      </c>
      <c r="C49" s="35" t="s">
        <v>124</v>
      </c>
      <c r="D49" s="37">
        <v>45992.0</v>
      </c>
      <c r="E49" s="39">
        <v>46028.0</v>
      </c>
      <c r="F49" s="25"/>
      <c r="G49" s="25"/>
      <c r="H49" s="25"/>
      <c r="I49" s="25"/>
      <c r="J49" s="25"/>
      <c r="K49" s="25"/>
      <c r="L49" s="41">
        <v>450.0</v>
      </c>
      <c r="M49" s="25"/>
      <c r="N49" s="25"/>
      <c r="O49" s="6" t="b">
        <v>1</v>
      </c>
    </row>
    <row r="50">
      <c r="B50" s="35" t="s">
        <v>126</v>
      </c>
      <c r="C50" s="35" t="s">
        <v>127</v>
      </c>
      <c r="D50" s="37">
        <v>46002.0</v>
      </c>
      <c r="E50" s="39">
        <v>46028.0</v>
      </c>
      <c r="F50" s="41">
        <v>450.0</v>
      </c>
      <c r="G50" s="25"/>
      <c r="H50" s="25"/>
      <c r="I50" s="25"/>
      <c r="J50" s="25"/>
      <c r="K50" s="25"/>
      <c r="L50" s="41">
        <v>450.0</v>
      </c>
      <c r="M50" s="25"/>
      <c r="N50" s="25"/>
      <c r="O50" s="6" t="b">
        <v>1</v>
      </c>
    </row>
    <row r="51">
      <c r="B51" s="35" t="s">
        <v>128</v>
      </c>
      <c r="C51" s="35" t="s">
        <v>129</v>
      </c>
      <c r="D51" s="37">
        <v>45994.0</v>
      </c>
      <c r="E51" s="45">
        <v>46022.0</v>
      </c>
      <c r="F51" s="41">
        <v>450.0</v>
      </c>
      <c r="G51" s="41"/>
      <c r="H51" s="41"/>
      <c r="I51" s="41">
        <v>450.0</v>
      </c>
      <c r="J51" s="25"/>
      <c r="K51" s="25"/>
      <c r="L51" s="25"/>
      <c r="M51" s="41">
        <v>450.0</v>
      </c>
      <c r="N51" s="41"/>
      <c r="O51" s="6" t="b">
        <v>1</v>
      </c>
    </row>
    <row r="52">
      <c r="B52" s="35" t="s">
        <v>132</v>
      </c>
      <c r="C52" s="35" t="s">
        <v>133</v>
      </c>
      <c r="D52" s="37">
        <v>45992.0</v>
      </c>
      <c r="E52" s="39">
        <v>46172.0</v>
      </c>
      <c r="F52" s="25"/>
      <c r="G52" s="41"/>
      <c r="H52" s="41"/>
      <c r="I52" s="41">
        <v>300.0</v>
      </c>
      <c r="J52" s="41">
        <v>300.0</v>
      </c>
      <c r="K52" s="25"/>
      <c r="L52" s="25"/>
      <c r="M52" s="25"/>
      <c r="N52" s="25"/>
      <c r="O52" s="6" t="b">
        <v>0</v>
      </c>
      <c r="AD52" s="6" t="s">
        <v>62</v>
      </c>
    </row>
    <row r="53">
      <c r="B53" s="35" t="s">
        <v>134</v>
      </c>
      <c r="C53" s="35" t="s">
        <v>40</v>
      </c>
      <c r="D53" s="37">
        <v>46003.0</v>
      </c>
      <c r="E53" s="39">
        <v>46026.0</v>
      </c>
      <c r="F53" s="41">
        <v>450.0</v>
      </c>
      <c r="G53" s="25"/>
      <c r="H53" s="25"/>
      <c r="I53" s="25"/>
      <c r="J53" s="25"/>
      <c r="K53" s="41">
        <v>300.0</v>
      </c>
      <c r="L53" s="41">
        <v>450.0</v>
      </c>
      <c r="M53" s="41">
        <v>450.0</v>
      </c>
      <c r="N53" s="41"/>
      <c r="O53" s="6" t="b">
        <v>1</v>
      </c>
    </row>
    <row r="54">
      <c r="B54" s="35" t="s">
        <v>136</v>
      </c>
      <c r="C54" s="35" t="s">
        <v>137</v>
      </c>
      <c r="D54" s="37">
        <v>45999.0</v>
      </c>
      <c r="E54" s="39">
        <v>46029.0</v>
      </c>
      <c r="F54" s="25"/>
      <c r="G54" s="25"/>
      <c r="H54" s="25"/>
      <c r="I54" s="25"/>
      <c r="J54" s="41">
        <v>300.0</v>
      </c>
      <c r="K54" s="41">
        <v>300.0</v>
      </c>
      <c r="L54" s="25"/>
      <c r="M54" s="25"/>
      <c r="N54" s="25"/>
      <c r="O54" s="6" t="b">
        <v>1</v>
      </c>
    </row>
    <row r="55">
      <c r="B55" s="35" t="s">
        <v>138</v>
      </c>
      <c r="C55" s="35" t="s">
        <v>139</v>
      </c>
      <c r="D55" s="37">
        <v>46006.0</v>
      </c>
      <c r="E55" s="45">
        <v>46022.0</v>
      </c>
      <c r="F55" s="41">
        <v>300.0</v>
      </c>
      <c r="G55" s="41"/>
      <c r="H55" s="41"/>
      <c r="I55" s="41">
        <v>300.0</v>
      </c>
      <c r="J55" s="25"/>
      <c r="K55" s="25"/>
      <c r="L55" s="25"/>
      <c r="M55" s="25"/>
      <c r="N55" s="25"/>
      <c r="O55" s="6" t="b">
        <v>1</v>
      </c>
    </row>
    <row r="56">
      <c r="B56" s="35" t="s">
        <v>143</v>
      </c>
      <c r="C56" s="35" t="s">
        <v>144</v>
      </c>
      <c r="D56" s="73"/>
      <c r="E56" s="74"/>
      <c r="F56" s="25"/>
      <c r="G56" s="25"/>
      <c r="H56" s="25"/>
      <c r="I56" s="25"/>
      <c r="J56" s="25"/>
      <c r="K56" s="25"/>
      <c r="L56" s="25"/>
      <c r="M56" s="25"/>
      <c r="N56" s="25"/>
      <c r="O56" s="6" t="b">
        <v>1</v>
      </c>
    </row>
    <row r="57">
      <c r="B57" s="35" t="s">
        <v>146</v>
      </c>
      <c r="C57" s="35" t="s">
        <v>147</v>
      </c>
      <c r="D57" s="76">
        <v>46013.0</v>
      </c>
      <c r="E57" s="77">
        <v>46043.0</v>
      </c>
      <c r="F57" s="25"/>
      <c r="G57" s="25"/>
      <c r="H57" s="25"/>
      <c r="I57" s="25"/>
      <c r="J57" s="25"/>
      <c r="K57" s="23">
        <v>300.0</v>
      </c>
      <c r="L57" s="25"/>
      <c r="M57" s="25"/>
      <c r="N57" s="25"/>
      <c r="O57" s="6" t="b">
        <v>1</v>
      </c>
    </row>
    <row r="58">
      <c r="B58" s="35" t="s">
        <v>149</v>
      </c>
      <c r="C58" s="35" t="s">
        <v>137</v>
      </c>
      <c r="D58" s="37">
        <v>46007.0</v>
      </c>
      <c r="E58" s="21">
        <v>46048.0</v>
      </c>
      <c r="F58" s="25"/>
      <c r="G58" s="25"/>
      <c r="H58" s="25"/>
      <c r="I58" s="25"/>
      <c r="J58" s="25"/>
      <c r="K58" s="41">
        <v>450.0</v>
      </c>
      <c r="L58" s="25"/>
      <c r="M58" s="25"/>
      <c r="N58" s="25"/>
      <c r="O58" s="6" t="b">
        <v>1</v>
      </c>
    </row>
    <row r="59">
      <c r="B59" s="7" t="s">
        <v>150</v>
      </c>
      <c r="C59" s="7" t="s">
        <v>151</v>
      </c>
      <c r="D59" s="80">
        <v>46014.0</v>
      </c>
      <c r="E59" s="81">
        <v>46025.0</v>
      </c>
      <c r="F59" s="50"/>
      <c r="G59" s="50"/>
      <c r="H59" s="50"/>
      <c r="I59" s="50"/>
      <c r="J59" s="50"/>
      <c r="K59" s="50">
        <v>300.0</v>
      </c>
      <c r="L59" s="50">
        <v>300.0</v>
      </c>
      <c r="M59" s="50"/>
      <c r="N59" s="50"/>
      <c r="O59" s="6" t="b">
        <v>1</v>
      </c>
    </row>
    <row r="60">
      <c r="B60" s="7" t="s">
        <v>152</v>
      </c>
      <c r="C60" s="7" t="s">
        <v>153</v>
      </c>
      <c r="D60" s="80">
        <v>46014.0</v>
      </c>
      <c r="E60" s="81">
        <v>46044.0</v>
      </c>
      <c r="F60" s="50">
        <v>300.0</v>
      </c>
      <c r="G60" s="50"/>
      <c r="H60" s="50"/>
      <c r="I60" s="50">
        <v>300.0</v>
      </c>
      <c r="J60" s="50">
        <v>300.0</v>
      </c>
      <c r="K60" s="50"/>
      <c r="L60" s="50">
        <v>300.0</v>
      </c>
      <c r="M60" s="50">
        <v>300.0</v>
      </c>
      <c r="N60" s="50"/>
      <c r="O60" s="6" t="b">
        <v>1</v>
      </c>
    </row>
    <row r="61">
      <c r="B61" s="7" t="s">
        <v>156</v>
      </c>
      <c r="C61" s="7" t="s">
        <v>157</v>
      </c>
      <c r="D61" s="80">
        <v>46029.0</v>
      </c>
      <c r="E61" s="81">
        <v>46049.0</v>
      </c>
      <c r="F61" s="50"/>
      <c r="G61" s="50"/>
      <c r="H61" s="50"/>
      <c r="I61" s="50"/>
      <c r="J61" s="50"/>
      <c r="K61" s="50"/>
      <c r="L61" s="50"/>
      <c r="M61" s="50">
        <v>600.0</v>
      </c>
      <c r="N61" s="50"/>
      <c r="O61" s="6" t="b">
        <v>1</v>
      </c>
    </row>
    <row r="62">
      <c r="B62" s="7" t="s">
        <v>159</v>
      </c>
      <c r="C62" s="7" t="s">
        <v>161</v>
      </c>
      <c r="D62" s="80">
        <v>46023.0</v>
      </c>
      <c r="E62" s="81">
        <v>46053.0</v>
      </c>
      <c r="F62" s="50"/>
      <c r="G62" s="50"/>
      <c r="H62" s="50"/>
      <c r="I62" s="50"/>
      <c r="J62" s="50"/>
      <c r="K62" s="50">
        <v>300.0</v>
      </c>
      <c r="L62" s="50"/>
      <c r="M62" s="50">
        <v>300.0</v>
      </c>
      <c r="N62" s="50"/>
      <c r="O62" s="6" t="b">
        <v>1</v>
      </c>
    </row>
    <row r="63">
      <c r="B63" s="7" t="s">
        <v>66</v>
      </c>
      <c r="C63" s="7" t="s">
        <v>163</v>
      </c>
      <c r="D63" s="80">
        <v>46023.0</v>
      </c>
      <c r="E63" s="81">
        <v>46112.0</v>
      </c>
      <c r="F63" s="50"/>
      <c r="G63" s="50"/>
      <c r="H63" s="50"/>
      <c r="I63" s="50">
        <v>900.0</v>
      </c>
      <c r="J63" s="50"/>
      <c r="K63" s="50">
        <v>900.0</v>
      </c>
      <c r="L63" s="50">
        <v>900.0</v>
      </c>
      <c r="M63" s="50"/>
      <c r="N63" s="50"/>
      <c r="O63" s="6" t="b">
        <v>1</v>
      </c>
    </row>
    <row r="64">
      <c r="B64" s="7" t="s">
        <v>165</v>
      </c>
      <c r="C64" s="7" t="s">
        <v>166</v>
      </c>
      <c r="D64" s="80">
        <v>46027.0</v>
      </c>
      <c r="E64" s="81">
        <v>46058.0</v>
      </c>
      <c r="F64" s="50"/>
      <c r="G64" s="50"/>
      <c r="H64" s="50"/>
      <c r="I64" s="50"/>
      <c r="J64" s="50">
        <v>450.0</v>
      </c>
      <c r="K64" s="50"/>
      <c r="L64" s="50"/>
      <c r="M64" s="50">
        <v>450.0</v>
      </c>
      <c r="N64" s="50"/>
      <c r="O64" s="6" t="b">
        <v>1</v>
      </c>
    </row>
    <row r="65">
      <c r="B65" s="7" t="s">
        <v>47</v>
      </c>
      <c r="C65" s="7" t="s">
        <v>167</v>
      </c>
      <c r="D65" s="80">
        <v>46025.0</v>
      </c>
      <c r="E65" s="81">
        <v>46037.0</v>
      </c>
      <c r="F65" s="50"/>
      <c r="G65" s="50"/>
      <c r="H65" s="50"/>
      <c r="I65" s="50"/>
      <c r="J65" s="50"/>
      <c r="K65" s="50"/>
      <c r="L65" s="50">
        <v>450.0</v>
      </c>
      <c r="M65" s="50"/>
      <c r="N65" s="50"/>
      <c r="O65" s="6" t="b">
        <v>1</v>
      </c>
    </row>
    <row r="66">
      <c r="B66" s="7" t="s">
        <v>60</v>
      </c>
      <c r="C66" s="7" t="s">
        <v>169</v>
      </c>
      <c r="D66" s="80">
        <v>46030.0</v>
      </c>
      <c r="E66" s="81">
        <v>46060.0</v>
      </c>
      <c r="F66" s="50"/>
      <c r="G66" s="50"/>
      <c r="H66" s="50"/>
      <c r="I66" s="50"/>
      <c r="J66" s="50"/>
      <c r="K66" s="50">
        <v>300.0</v>
      </c>
      <c r="L66" s="50"/>
      <c r="M66" s="50"/>
      <c r="N66" s="50"/>
      <c r="O66" s="6" t="b">
        <v>1</v>
      </c>
    </row>
    <row r="67">
      <c r="B67" s="7" t="s">
        <v>47</v>
      </c>
      <c r="C67" s="7" t="s">
        <v>170</v>
      </c>
      <c r="D67" s="80">
        <v>46031.0</v>
      </c>
      <c r="E67" s="81">
        <v>46053.0</v>
      </c>
      <c r="F67" s="50"/>
      <c r="G67" s="50"/>
      <c r="H67" s="50"/>
      <c r="I67" s="50"/>
      <c r="J67" s="50"/>
      <c r="K67" s="50"/>
      <c r="L67" s="50">
        <v>450.0</v>
      </c>
      <c r="M67" s="50"/>
      <c r="N67" s="50"/>
      <c r="O67" s="6" t="b">
        <v>1</v>
      </c>
    </row>
    <row r="68">
      <c r="B68" s="7" t="s">
        <v>172</v>
      </c>
      <c r="C68" s="7" t="s">
        <v>173</v>
      </c>
      <c r="D68" s="80">
        <v>46031.0</v>
      </c>
      <c r="E68" s="81">
        <v>46053.0</v>
      </c>
      <c r="F68" s="50">
        <v>300.0</v>
      </c>
      <c r="G68" s="50"/>
      <c r="H68" s="50"/>
      <c r="I68" s="50">
        <v>300.0</v>
      </c>
      <c r="J68" s="50">
        <v>300.0</v>
      </c>
      <c r="K68" s="50">
        <v>300.0</v>
      </c>
      <c r="L68" s="50">
        <v>300.0</v>
      </c>
      <c r="M68" s="50">
        <v>300.0</v>
      </c>
      <c r="N68" s="50"/>
      <c r="O68" s="6" t="b">
        <v>1</v>
      </c>
    </row>
    <row r="69">
      <c r="B69" s="7" t="s">
        <v>43</v>
      </c>
      <c r="C69" s="7" t="s">
        <v>44</v>
      </c>
      <c r="D69" s="80">
        <v>46034.0</v>
      </c>
      <c r="E69" s="81">
        <v>46053.0</v>
      </c>
      <c r="F69" s="50"/>
      <c r="G69" s="50"/>
      <c r="H69" s="50"/>
      <c r="I69" s="50"/>
      <c r="J69" s="50"/>
      <c r="K69" s="50">
        <v>600.0</v>
      </c>
      <c r="L69" s="50"/>
      <c r="M69" s="50"/>
      <c r="N69" s="50"/>
      <c r="O69" s="6" t="b">
        <v>1</v>
      </c>
    </row>
    <row r="70">
      <c r="B70" s="7" t="s">
        <v>175</v>
      </c>
      <c r="C70" s="7" t="s">
        <v>57</v>
      </c>
      <c r="D70" s="80">
        <v>46034.0</v>
      </c>
      <c r="E70" s="81">
        <v>46112.0</v>
      </c>
      <c r="F70" s="50">
        <v>450.0</v>
      </c>
      <c r="G70" s="50"/>
      <c r="H70" s="50"/>
      <c r="I70" s="50">
        <v>450.0</v>
      </c>
      <c r="J70" s="50"/>
      <c r="K70" s="50"/>
      <c r="L70" s="50"/>
      <c r="M70" s="50"/>
      <c r="N70" s="50"/>
      <c r="O70" s="6" t="b">
        <v>1</v>
      </c>
    </row>
    <row r="71">
      <c r="B71" s="7" t="s">
        <v>176</v>
      </c>
      <c r="C71" s="7" t="s">
        <v>177</v>
      </c>
      <c r="D71" s="80">
        <v>46035.0</v>
      </c>
      <c r="E71" s="81">
        <v>46054.0</v>
      </c>
      <c r="F71" s="50"/>
      <c r="G71" s="50"/>
      <c r="H71" s="50"/>
      <c r="I71" s="50">
        <v>300.0</v>
      </c>
      <c r="J71" s="50">
        <v>300.0</v>
      </c>
      <c r="K71" s="50"/>
      <c r="L71" s="50"/>
      <c r="M71" s="50">
        <v>300.0</v>
      </c>
      <c r="N71" s="50"/>
      <c r="O71" s="6" t="b">
        <v>1</v>
      </c>
    </row>
    <row r="72">
      <c r="B72" s="7" t="s">
        <v>47</v>
      </c>
      <c r="C72" s="7" t="s">
        <v>178</v>
      </c>
      <c r="D72" s="80">
        <v>46034.0</v>
      </c>
      <c r="E72" s="81">
        <v>46035.0</v>
      </c>
      <c r="F72" s="50">
        <v>900.0</v>
      </c>
      <c r="G72" s="50"/>
      <c r="H72" s="50"/>
      <c r="I72" s="50">
        <v>900.0</v>
      </c>
      <c r="J72" s="50">
        <v>900.0</v>
      </c>
      <c r="K72" s="50"/>
      <c r="L72" s="50">
        <v>900.0</v>
      </c>
      <c r="M72" s="50">
        <v>900.0</v>
      </c>
      <c r="N72" s="50"/>
      <c r="O72" s="6" t="b">
        <v>1</v>
      </c>
    </row>
    <row r="73">
      <c r="B73" s="7" t="s">
        <v>180</v>
      </c>
      <c r="C73" s="7" t="s">
        <v>181</v>
      </c>
      <c r="D73" s="80">
        <v>46034.0</v>
      </c>
      <c r="E73" s="81">
        <v>46065.0</v>
      </c>
      <c r="F73" s="50"/>
      <c r="G73" s="50"/>
      <c r="H73" s="50"/>
      <c r="I73" s="50"/>
      <c r="J73" s="50">
        <v>450.0</v>
      </c>
      <c r="K73" s="50">
        <v>450.0</v>
      </c>
      <c r="L73" s="50"/>
      <c r="M73" s="50"/>
      <c r="N73" s="50"/>
      <c r="O73" s="6" t="b">
        <v>1</v>
      </c>
    </row>
    <row r="74">
      <c r="B74" s="7" t="s">
        <v>83</v>
      </c>
      <c r="C74" s="7" t="s">
        <v>183</v>
      </c>
      <c r="D74" s="80">
        <v>46029.0</v>
      </c>
      <c r="E74" s="81">
        <v>46362.0</v>
      </c>
      <c r="F74" s="50"/>
      <c r="G74" s="50"/>
      <c r="H74" s="50"/>
      <c r="I74" s="50"/>
      <c r="J74" s="50"/>
      <c r="K74" s="50">
        <v>300.0</v>
      </c>
      <c r="L74" s="50"/>
      <c r="M74" s="50"/>
      <c r="N74" s="50"/>
      <c r="O74" s="6" t="b">
        <v>0</v>
      </c>
    </row>
    <row r="75">
      <c r="B75" s="7" t="s">
        <v>94</v>
      </c>
      <c r="C75" s="7" t="s">
        <v>185</v>
      </c>
      <c r="D75" s="80">
        <v>46037.0</v>
      </c>
      <c r="E75" s="81">
        <v>46067.0</v>
      </c>
      <c r="F75" s="50"/>
      <c r="G75" s="50"/>
      <c r="H75" s="50"/>
      <c r="I75" s="50">
        <v>450.0</v>
      </c>
      <c r="J75" s="50"/>
      <c r="K75" s="50"/>
      <c r="L75" s="50"/>
      <c r="M75" s="50">
        <v>450.0</v>
      </c>
      <c r="N75" s="50"/>
      <c r="O75" s="6" t="b">
        <v>1</v>
      </c>
    </row>
    <row r="76">
      <c r="B76" s="7" t="s">
        <v>187</v>
      </c>
      <c r="C76" s="7" t="s">
        <v>188</v>
      </c>
      <c r="D76" s="80">
        <v>46036.0</v>
      </c>
      <c r="E76" s="81">
        <v>46066.0</v>
      </c>
      <c r="F76" s="50">
        <v>450.0</v>
      </c>
      <c r="G76" s="50"/>
      <c r="H76" s="50"/>
      <c r="I76" s="50"/>
      <c r="J76" s="50"/>
      <c r="K76" s="50"/>
      <c r="L76" s="50">
        <v>450.0</v>
      </c>
      <c r="M76" s="50"/>
      <c r="N76" s="50"/>
      <c r="O76" s="6" t="b">
        <v>1</v>
      </c>
    </row>
    <row r="77">
      <c r="B77" s="7" t="s">
        <v>145</v>
      </c>
      <c r="C77" s="87">
        <v>46114.0</v>
      </c>
      <c r="D77" s="80">
        <v>46037.0</v>
      </c>
      <c r="E77" s="81">
        <v>46067.0</v>
      </c>
      <c r="F77" s="50"/>
      <c r="G77" s="50"/>
      <c r="H77" s="50"/>
      <c r="I77" s="50"/>
      <c r="J77" s="50"/>
      <c r="K77" s="50">
        <v>450.0</v>
      </c>
      <c r="L77" s="50">
        <v>450.0</v>
      </c>
      <c r="M77" s="50"/>
      <c r="N77" s="50"/>
      <c r="O77" s="6" t="b">
        <v>1</v>
      </c>
    </row>
    <row r="78">
      <c r="B78" s="7" t="s">
        <v>190</v>
      </c>
      <c r="C78" s="7" t="s">
        <v>191</v>
      </c>
      <c r="D78" s="80">
        <v>46038.0</v>
      </c>
      <c r="E78" s="81">
        <v>46068.0</v>
      </c>
      <c r="F78" s="50"/>
      <c r="G78" s="50"/>
      <c r="H78" s="50"/>
      <c r="I78" s="50"/>
      <c r="J78" s="50">
        <v>450.0</v>
      </c>
      <c r="K78" s="50"/>
      <c r="L78" s="50"/>
      <c r="M78" s="50"/>
      <c r="N78" s="50"/>
      <c r="O78" s="6" t="b">
        <v>1</v>
      </c>
    </row>
    <row r="79">
      <c r="B79" s="7" t="s">
        <v>109</v>
      </c>
      <c r="C79" s="7" t="s">
        <v>178</v>
      </c>
      <c r="D79" s="80">
        <v>46037.0</v>
      </c>
      <c r="E79" s="81">
        <v>46095.0</v>
      </c>
      <c r="F79" s="50"/>
      <c r="G79" s="50"/>
      <c r="H79" s="50"/>
      <c r="I79" s="50"/>
      <c r="J79" s="50"/>
      <c r="K79" s="50"/>
      <c r="L79" s="50"/>
      <c r="M79" s="50">
        <v>300.0</v>
      </c>
      <c r="N79" s="50"/>
      <c r="O79" s="6" t="b">
        <v>1</v>
      </c>
      <c r="AD79" s="6" t="s">
        <v>62</v>
      </c>
    </row>
    <row r="80">
      <c r="B80" s="7" t="s">
        <v>192</v>
      </c>
      <c r="C80" s="7" t="s">
        <v>193</v>
      </c>
      <c r="D80" s="80">
        <v>46042.0</v>
      </c>
      <c r="E80" s="81">
        <v>46050.0</v>
      </c>
      <c r="F80" s="50"/>
      <c r="G80" s="50"/>
      <c r="H80" s="50"/>
      <c r="I80" s="50"/>
      <c r="J80" s="50"/>
      <c r="K80" s="50"/>
      <c r="L80" s="50"/>
      <c r="M80" s="50">
        <v>450.0</v>
      </c>
      <c r="N80" s="50"/>
      <c r="O80" s="6" t="b">
        <v>1</v>
      </c>
    </row>
    <row r="81">
      <c r="B81" s="7" t="s">
        <v>195</v>
      </c>
      <c r="C81" s="7" t="s">
        <v>196</v>
      </c>
      <c r="D81" s="80">
        <v>46050.0</v>
      </c>
      <c r="E81" s="81">
        <v>46068.0</v>
      </c>
      <c r="F81" s="50">
        <v>450.0</v>
      </c>
      <c r="G81" s="50"/>
      <c r="H81" s="50"/>
      <c r="I81" s="50"/>
      <c r="J81" s="50">
        <v>450.0</v>
      </c>
      <c r="K81" s="50"/>
      <c r="L81" s="50">
        <v>450.0</v>
      </c>
      <c r="M81" s="50"/>
      <c r="N81" s="50"/>
      <c r="O81" s="6" t="b">
        <v>1</v>
      </c>
    </row>
    <row r="82">
      <c r="B82" s="7" t="s">
        <v>198</v>
      </c>
      <c r="C82" s="7" t="s">
        <v>199</v>
      </c>
      <c r="D82" s="80">
        <v>46054.0</v>
      </c>
      <c r="E82" s="81">
        <v>46081.0</v>
      </c>
      <c r="F82" s="50"/>
      <c r="G82" s="50"/>
      <c r="H82" s="50"/>
      <c r="I82" s="50"/>
      <c r="J82" s="50"/>
      <c r="K82" s="50">
        <v>300.0</v>
      </c>
      <c r="L82" s="50"/>
      <c r="M82" s="50"/>
      <c r="N82" s="50"/>
      <c r="O82" s="6" t="b">
        <v>1</v>
      </c>
    </row>
    <row r="83">
      <c r="B83" s="7" t="s">
        <v>201</v>
      </c>
      <c r="C83" s="7" t="s">
        <v>202</v>
      </c>
      <c r="D83" s="80">
        <v>46055.0</v>
      </c>
      <c r="E83" s="81">
        <v>46082.0</v>
      </c>
      <c r="F83" s="50"/>
      <c r="G83" s="50"/>
      <c r="H83" s="50"/>
      <c r="I83" s="50">
        <v>450.0</v>
      </c>
      <c r="J83" s="50"/>
      <c r="K83" s="50">
        <v>450.0</v>
      </c>
      <c r="L83" s="50"/>
      <c r="M83" s="50">
        <v>450.0</v>
      </c>
      <c r="N83" s="50"/>
      <c r="O83" s="6" t="b">
        <v>1</v>
      </c>
    </row>
    <row r="84">
      <c r="B84" s="7" t="s">
        <v>43</v>
      </c>
      <c r="C84" s="7" t="s">
        <v>44</v>
      </c>
      <c r="D84" s="80">
        <v>46054.0</v>
      </c>
      <c r="E84" s="81">
        <v>46081.0</v>
      </c>
      <c r="F84" s="50"/>
      <c r="G84" s="50"/>
      <c r="H84" s="50"/>
      <c r="I84" s="50"/>
      <c r="J84" s="50"/>
      <c r="K84" s="50">
        <v>600.0</v>
      </c>
      <c r="L84" s="50"/>
      <c r="M84" s="50"/>
      <c r="N84" s="50"/>
      <c r="O84" s="6" t="b">
        <v>1</v>
      </c>
    </row>
    <row r="85">
      <c r="B85" s="17" t="s">
        <v>203</v>
      </c>
      <c r="C85" s="17" t="s">
        <v>204</v>
      </c>
      <c r="D85" s="80">
        <v>46057.0</v>
      </c>
      <c r="E85" s="81">
        <v>46084.0</v>
      </c>
      <c r="F85" s="50"/>
      <c r="G85" s="50"/>
      <c r="H85" s="50"/>
      <c r="I85" s="50"/>
      <c r="J85" s="50">
        <v>450.0</v>
      </c>
      <c r="K85" s="50"/>
      <c r="L85" s="50">
        <v>450.0</v>
      </c>
      <c r="M85" s="50">
        <v>450.0</v>
      </c>
      <c r="N85" s="50"/>
      <c r="O85" s="6" t="b">
        <v>1</v>
      </c>
    </row>
    <row r="86">
      <c r="B86" s="7" t="s">
        <v>206</v>
      </c>
      <c r="C86" s="7" t="s">
        <v>207</v>
      </c>
      <c r="D86" s="80">
        <v>46055.0</v>
      </c>
      <c r="E86" s="81">
        <v>46082.0</v>
      </c>
      <c r="F86" s="50">
        <v>300.0</v>
      </c>
      <c r="G86" s="50"/>
      <c r="H86" s="50"/>
      <c r="I86" s="50">
        <v>300.0</v>
      </c>
      <c r="J86" s="50">
        <v>300.0</v>
      </c>
      <c r="K86" s="50">
        <v>300.0</v>
      </c>
      <c r="L86" s="50">
        <v>300.0</v>
      </c>
      <c r="M86" s="50">
        <v>300.0</v>
      </c>
      <c r="N86" s="50"/>
      <c r="O86" s="6" t="b">
        <v>1</v>
      </c>
    </row>
    <row r="87">
      <c r="B87" s="7" t="s">
        <v>110</v>
      </c>
      <c r="C87" s="7" t="s">
        <v>111</v>
      </c>
      <c r="D87" s="80">
        <v>46054.0</v>
      </c>
      <c r="E87" s="81">
        <v>46081.0</v>
      </c>
      <c r="F87" s="50">
        <v>300.0</v>
      </c>
      <c r="G87" s="50"/>
      <c r="H87" s="50"/>
      <c r="I87" s="50"/>
      <c r="J87" s="50"/>
      <c r="K87" s="50"/>
      <c r="L87" s="50"/>
      <c r="M87" s="50"/>
      <c r="N87" s="50"/>
      <c r="O87" s="6" t="b">
        <v>1</v>
      </c>
    </row>
    <row r="88">
      <c r="B88" s="7" t="s">
        <v>33</v>
      </c>
      <c r="C88" s="7" t="s">
        <v>82</v>
      </c>
      <c r="D88" s="80">
        <v>46054.0</v>
      </c>
      <c r="E88" s="81">
        <v>46081.0</v>
      </c>
      <c r="F88" s="50"/>
      <c r="G88" s="50"/>
      <c r="H88" s="50"/>
      <c r="I88" s="50"/>
      <c r="J88" s="50"/>
      <c r="K88" s="50">
        <v>300.0</v>
      </c>
      <c r="L88" s="50">
        <v>300.0</v>
      </c>
      <c r="M88" s="50"/>
      <c r="N88" s="50"/>
      <c r="O88" s="6" t="b">
        <v>1</v>
      </c>
    </row>
    <row r="89">
      <c r="B89" s="7" t="s">
        <v>210</v>
      </c>
      <c r="C89" s="7" t="s">
        <v>211</v>
      </c>
      <c r="D89" s="80">
        <v>46058.0</v>
      </c>
      <c r="E89" s="81">
        <v>46146.0</v>
      </c>
      <c r="F89" s="50"/>
      <c r="G89" s="50"/>
      <c r="H89" s="50"/>
      <c r="I89" s="50"/>
      <c r="J89" s="50"/>
      <c r="K89" s="50">
        <v>300.0</v>
      </c>
      <c r="L89" s="50"/>
      <c r="M89" s="50">
        <v>300.0</v>
      </c>
      <c r="N89" s="50"/>
      <c r="O89" s="6" t="b">
        <v>0</v>
      </c>
    </row>
    <row r="90">
      <c r="B90" s="7" t="s">
        <v>47</v>
      </c>
      <c r="C90" s="7" t="s">
        <v>212</v>
      </c>
      <c r="D90" s="80">
        <v>46058.0</v>
      </c>
      <c r="E90" s="81">
        <v>46063.0</v>
      </c>
      <c r="F90" s="50"/>
      <c r="G90" s="50"/>
      <c r="H90" s="50"/>
      <c r="I90" s="50"/>
      <c r="J90" s="50"/>
      <c r="K90" s="50"/>
      <c r="L90" s="50">
        <v>450.0</v>
      </c>
      <c r="M90" s="50"/>
      <c r="N90" s="50"/>
      <c r="O90" s="6" t="b">
        <v>1</v>
      </c>
    </row>
    <row r="91">
      <c r="B91" s="7" t="s">
        <v>159</v>
      </c>
      <c r="C91" s="7" t="s">
        <v>213</v>
      </c>
      <c r="D91" s="80">
        <v>46058.0</v>
      </c>
      <c r="E91" s="81">
        <v>46081.0</v>
      </c>
      <c r="F91" s="50"/>
      <c r="G91" s="50"/>
      <c r="H91" s="50"/>
      <c r="I91" s="50"/>
      <c r="J91" s="50"/>
      <c r="K91" s="50">
        <v>300.0</v>
      </c>
      <c r="L91" s="50"/>
      <c r="M91" s="50">
        <v>300.0</v>
      </c>
      <c r="N91" s="50"/>
      <c r="O91" s="6" t="b">
        <v>1</v>
      </c>
    </row>
    <row r="92">
      <c r="B92" s="7" t="s">
        <v>47</v>
      </c>
      <c r="C92" s="7" t="s">
        <v>212</v>
      </c>
      <c r="D92" s="80">
        <v>46064.0</v>
      </c>
      <c r="E92" s="81">
        <v>46067.0</v>
      </c>
      <c r="F92" s="50"/>
      <c r="G92" s="50"/>
      <c r="H92" s="50"/>
      <c r="I92" s="50">
        <v>900.0</v>
      </c>
      <c r="J92" s="50"/>
      <c r="K92" s="50"/>
      <c r="L92" s="50">
        <v>900.0</v>
      </c>
      <c r="M92" s="50"/>
      <c r="N92" s="50"/>
      <c r="O92" s="6" t="b">
        <v>1</v>
      </c>
    </row>
    <row r="93">
      <c r="B93" s="7" t="s">
        <v>180</v>
      </c>
      <c r="C93" s="7" t="s">
        <v>213</v>
      </c>
      <c r="D93" s="80">
        <v>46064.0</v>
      </c>
      <c r="E93" s="81">
        <v>46092.0</v>
      </c>
      <c r="F93" s="50"/>
      <c r="G93" s="50"/>
      <c r="H93" s="50"/>
      <c r="I93" s="50"/>
      <c r="J93" s="50">
        <v>450.0</v>
      </c>
      <c r="K93" s="50"/>
      <c r="L93" s="50"/>
      <c r="M93" s="50"/>
      <c r="N93" s="50"/>
      <c r="O93" s="6" t="b">
        <v>1</v>
      </c>
    </row>
    <row r="94">
      <c r="B94" s="7" t="s">
        <v>47</v>
      </c>
      <c r="C94" s="7" t="s">
        <v>188</v>
      </c>
      <c r="D94" s="80">
        <v>46067.0</v>
      </c>
      <c r="E94" s="81">
        <v>46094.0</v>
      </c>
      <c r="F94" s="50" t="s">
        <v>214</v>
      </c>
      <c r="G94" s="50"/>
      <c r="H94" s="50"/>
      <c r="I94" s="50"/>
      <c r="J94" s="50"/>
      <c r="K94" s="50"/>
      <c r="L94" s="50" t="s">
        <v>215</v>
      </c>
      <c r="M94" s="50"/>
      <c r="N94" s="50"/>
      <c r="O94" s="6" t="b">
        <v>1</v>
      </c>
    </row>
    <row r="95">
      <c r="B95" s="7" t="s">
        <v>47</v>
      </c>
      <c r="C95" s="7" t="s">
        <v>216</v>
      </c>
      <c r="D95" s="80">
        <v>46068.0</v>
      </c>
      <c r="E95" s="81">
        <v>46071.0</v>
      </c>
      <c r="F95" s="50">
        <v>900.0</v>
      </c>
      <c r="G95" s="50"/>
      <c r="H95" s="50"/>
      <c r="I95" s="50"/>
      <c r="J95" s="50">
        <v>900.0</v>
      </c>
      <c r="K95" s="50"/>
      <c r="L95" s="50"/>
      <c r="M95" s="50"/>
      <c r="N95" s="50"/>
      <c r="O95" s="6" t="b">
        <v>1</v>
      </c>
    </row>
    <row r="96">
      <c r="B96" s="7" t="s">
        <v>145</v>
      </c>
      <c r="C96" s="7" t="s">
        <v>40</v>
      </c>
      <c r="D96" s="80">
        <v>46068.0</v>
      </c>
      <c r="E96" s="81">
        <v>46095.0</v>
      </c>
      <c r="F96" s="50"/>
      <c r="G96" s="50"/>
      <c r="H96" s="50"/>
      <c r="I96" s="50"/>
      <c r="J96" s="50"/>
      <c r="K96" s="50">
        <v>900.0</v>
      </c>
      <c r="L96" s="50">
        <v>900.0</v>
      </c>
      <c r="M96" s="50"/>
      <c r="N96" s="50"/>
      <c r="O96" s="6" t="b">
        <v>1</v>
      </c>
    </row>
    <row r="97">
      <c r="B97" s="7" t="s">
        <v>91</v>
      </c>
      <c r="C97" s="7" t="s">
        <v>202</v>
      </c>
      <c r="D97" s="80">
        <v>46071.0</v>
      </c>
      <c r="E97" s="81">
        <v>46130.0</v>
      </c>
      <c r="F97" s="50"/>
      <c r="G97" s="50"/>
      <c r="H97" s="50"/>
      <c r="I97" s="50"/>
      <c r="J97" s="50"/>
      <c r="K97" s="50">
        <v>300.0</v>
      </c>
      <c r="L97" s="50"/>
      <c r="M97" s="50"/>
      <c r="N97" s="50"/>
      <c r="O97" s="6" t="b">
        <v>1</v>
      </c>
    </row>
    <row r="98">
      <c r="B98" s="7" t="s">
        <v>190</v>
      </c>
      <c r="C98" s="7" t="s">
        <v>40</v>
      </c>
      <c r="D98" s="80">
        <v>46070.0</v>
      </c>
      <c r="E98" s="81">
        <v>46097.0</v>
      </c>
      <c r="F98" s="50"/>
      <c r="G98" s="50"/>
      <c r="H98" s="50"/>
      <c r="I98" s="50"/>
      <c r="J98" s="50">
        <v>450.0</v>
      </c>
      <c r="K98" s="50"/>
      <c r="L98" s="50"/>
      <c r="M98" s="50"/>
      <c r="N98" s="50"/>
      <c r="O98" s="6" t="b">
        <v>1</v>
      </c>
    </row>
    <row r="99">
      <c r="B99" s="7" t="s">
        <v>218</v>
      </c>
      <c r="C99" s="7" t="s">
        <v>219</v>
      </c>
      <c r="D99" s="80">
        <v>46073.0</v>
      </c>
      <c r="E99" s="81">
        <v>46084.0</v>
      </c>
      <c r="F99" s="50">
        <v>300.0</v>
      </c>
      <c r="G99" s="50"/>
      <c r="H99" s="50"/>
      <c r="I99" s="50">
        <v>300.0</v>
      </c>
      <c r="J99" s="50">
        <v>300.0</v>
      </c>
      <c r="K99" s="50">
        <v>300.0</v>
      </c>
      <c r="L99" s="50">
        <v>300.0</v>
      </c>
      <c r="M99" s="50">
        <v>300.0</v>
      </c>
      <c r="N99" s="50"/>
      <c r="O99" s="6" t="b">
        <v>1</v>
      </c>
    </row>
    <row r="100">
      <c r="B100" s="7" t="s">
        <v>220</v>
      </c>
      <c r="C100" s="7" t="s">
        <v>82</v>
      </c>
      <c r="D100" s="80">
        <v>46082.0</v>
      </c>
      <c r="E100" s="81">
        <v>46112.0</v>
      </c>
      <c r="F100" s="50"/>
      <c r="G100" s="50"/>
      <c r="H100" s="50"/>
      <c r="I100" s="50"/>
      <c r="J100" s="50"/>
      <c r="K100" s="50"/>
      <c r="L100" s="50"/>
      <c r="M100" s="50">
        <v>450.0</v>
      </c>
      <c r="N100" s="50"/>
      <c r="O100" s="6" t="b">
        <v>1</v>
      </c>
    </row>
    <row r="101">
      <c r="B101" s="7" t="s">
        <v>221</v>
      </c>
      <c r="C101" s="7" t="s">
        <v>82</v>
      </c>
      <c r="D101" s="80">
        <v>46082.0</v>
      </c>
      <c r="E101" s="81">
        <v>46112.0</v>
      </c>
      <c r="F101" s="50">
        <v>450.0</v>
      </c>
      <c r="G101" s="50"/>
      <c r="H101" s="50"/>
      <c r="I101" s="50"/>
      <c r="J101" s="50"/>
      <c r="K101" s="50">
        <v>450.0</v>
      </c>
      <c r="L101" s="50"/>
      <c r="M101" s="50"/>
      <c r="N101" s="50"/>
      <c r="O101" s="6" t="b">
        <v>1</v>
      </c>
    </row>
    <row r="102">
      <c r="B102" s="7" t="s">
        <v>222</v>
      </c>
      <c r="C102" s="7" t="s">
        <v>223</v>
      </c>
      <c r="D102" s="80">
        <v>46078.0</v>
      </c>
      <c r="E102" s="81">
        <v>46096.0</v>
      </c>
      <c r="F102" s="50">
        <v>450.0</v>
      </c>
      <c r="G102" s="50"/>
      <c r="H102" s="50"/>
      <c r="I102" s="50"/>
      <c r="J102" s="50"/>
      <c r="K102" s="50"/>
      <c r="L102" s="50"/>
      <c r="M102" s="50"/>
      <c r="N102" s="50"/>
      <c r="O102" s="6" t="b">
        <v>1</v>
      </c>
    </row>
    <row r="103">
      <c r="B103" s="7" t="s">
        <v>90</v>
      </c>
      <c r="C103" s="7" t="s">
        <v>40</v>
      </c>
      <c r="D103" s="80">
        <v>46079.0</v>
      </c>
      <c r="E103" s="81">
        <v>46137.0</v>
      </c>
      <c r="F103" s="50"/>
      <c r="G103" s="50"/>
      <c r="H103" s="50"/>
      <c r="I103" s="50"/>
      <c r="J103" s="50"/>
      <c r="K103" s="50">
        <v>300.0</v>
      </c>
      <c r="L103" s="50"/>
      <c r="M103" s="50"/>
      <c r="N103" s="50"/>
      <c r="O103" s="6" t="b">
        <v>1</v>
      </c>
    </row>
    <row r="104">
      <c r="B104" s="7" t="s">
        <v>225</v>
      </c>
      <c r="C104" s="7" t="s">
        <v>226</v>
      </c>
      <c r="D104" s="80">
        <v>46080.0</v>
      </c>
      <c r="E104" s="81">
        <v>46101.0</v>
      </c>
      <c r="F104" s="50">
        <v>300.0</v>
      </c>
      <c r="G104" s="50"/>
      <c r="H104" s="50"/>
      <c r="I104" s="50">
        <v>300.0</v>
      </c>
      <c r="J104" s="50">
        <v>300.0</v>
      </c>
      <c r="K104" s="50">
        <v>300.0</v>
      </c>
      <c r="L104" s="50">
        <v>300.0</v>
      </c>
      <c r="M104" s="50">
        <v>300.0</v>
      </c>
      <c r="N104" s="50"/>
      <c r="O104" s="6" t="b">
        <v>1</v>
      </c>
    </row>
    <row r="105">
      <c r="B105" s="7" t="s">
        <v>43</v>
      </c>
      <c r="C105" s="7" t="s">
        <v>227</v>
      </c>
      <c r="D105" s="80">
        <v>46082.0</v>
      </c>
      <c r="E105" s="81">
        <v>46173.0</v>
      </c>
      <c r="F105" s="50"/>
      <c r="G105" s="50"/>
      <c r="H105" s="50"/>
      <c r="I105" s="50"/>
      <c r="J105" s="50"/>
      <c r="K105" s="50">
        <v>600.0</v>
      </c>
      <c r="L105" s="50"/>
      <c r="M105" s="50"/>
      <c r="N105" s="50"/>
      <c r="O105" s="6" t="b">
        <v>0</v>
      </c>
    </row>
    <row r="106">
      <c r="B106" s="7" t="s">
        <v>159</v>
      </c>
      <c r="C106" s="7" t="s">
        <v>202</v>
      </c>
      <c r="D106" s="80">
        <v>46082.0</v>
      </c>
      <c r="E106" s="81">
        <v>46112.0</v>
      </c>
      <c r="F106" s="50"/>
      <c r="G106" s="50"/>
      <c r="H106" s="50"/>
      <c r="I106" s="50"/>
      <c r="J106" s="50"/>
      <c r="K106" s="50">
        <v>300.0</v>
      </c>
      <c r="L106" s="50"/>
      <c r="M106" s="50">
        <v>300.0</v>
      </c>
      <c r="N106" s="50"/>
      <c r="O106" s="6" t="b">
        <v>1</v>
      </c>
    </row>
    <row r="107">
      <c r="B107" s="7" t="s">
        <v>60</v>
      </c>
      <c r="C107" s="7" t="s">
        <v>40</v>
      </c>
      <c r="D107" s="80">
        <v>46087.0</v>
      </c>
      <c r="E107" s="81">
        <v>46117.0</v>
      </c>
      <c r="F107" s="50"/>
      <c r="G107" s="50"/>
      <c r="H107" s="50"/>
      <c r="I107" s="50"/>
      <c r="J107" s="50"/>
      <c r="K107" s="50">
        <v>300.0</v>
      </c>
      <c r="L107" s="50"/>
      <c r="M107" s="50"/>
      <c r="N107" s="50"/>
      <c r="O107" s="6" t="b">
        <v>1</v>
      </c>
    </row>
    <row r="108">
      <c r="B108" s="7" t="s">
        <v>228</v>
      </c>
      <c r="C108" s="7" t="s">
        <v>229</v>
      </c>
      <c r="D108" s="80">
        <v>46085.0</v>
      </c>
      <c r="E108" s="81">
        <v>46115.0</v>
      </c>
      <c r="F108" s="50"/>
      <c r="G108" s="50"/>
      <c r="H108" s="50"/>
      <c r="I108" s="50"/>
      <c r="J108" s="50">
        <v>450.0</v>
      </c>
      <c r="K108" s="50"/>
      <c r="L108" s="50"/>
      <c r="M108" s="50"/>
      <c r="N108" s="50"/>
      <c r="O108" s="6" t="b">
        <v>1</v>
      </c>
    </row>
    <row r="109">
      <c r="B109" s="7" t="s">
        <v>231</v>
      </c>
      <c r="C109" s="7" t="s">
        <v>213</v>
      </c>
      <c r="D109" s="80">
        <v>46086.0</v>
      </c>
      <c r="E109" s="81">
        <v>46116.0</v>
      </c>
      <c r="F109" s="50"/>
      <c r="G109" s="50"/>
      <c r="H109" s="50"/>
      <c r="I109" s="50"/>
      <c r="J109" s="50">
        <v>300.0</v>
      </c>
      <c r="K109" s="50"/>
      <c r="L109" s="50"/>
      <c r="M109" s="50">
        <v>300.0</v>
      </c>
      <c r="N109" s="50"/>
      <c r="O109" s="6" t="b">
        <v>1</v>
      </c>
    </row>
    <row r="110">
      <c r="B110" s="7" t="s">
        <v>47</v>
      </c>
      <c r="C110" s="7" t="s">
        <v>212</v>
      </c>
      <c r="D110" s="80">
        <v>46086.0</v>
      </c>
      <c r="E110" s="81">
        <v>46109.0</v>
      </c>
      <c r="F110" s="50">
        <v>450.0</v>
      </c>
      <c r="G110" s="50"/>
      <c r="H110" s="50"/>
      <c r="I110" s="50"/>
      <c r="J110" s="50"/>
      <c r="K110" s="50"/>
      <c r="L110" s="50"/>
      <c r="M110" s="50"/>
      <c r="N110" s="50"/>
      <c r="O110" s="6" t="b">
        <v>1</v>
      </c>
    </row>
    <row r="111">
      <c r="B111" s="7" t="s">
        <v>94</v>
      </c>
      <c r="C111" s="7" t="s">
        <v>232</v>
      </c>
      <c r="D111" s="80">
        <v>46087.0</v>
      </c>
      <c r="E111" s="81">
        <v>46117.0</v>
      </c>
      <c r="F111" s="50"/>
      <c r="G111" s="50"/>
      <c r="H111" s="50"/>
      <c r="I111" s="50">
        <v>450.0</v>
      </c>
      <c r="J111" s="50"/>
      <c r="K111" s="50"/>
      <c r="L111" s="50"/>
      <c r="M111" s="50">
        <v>450.0</v>
      </c>
      <c r="N111" s="50"/>
      <c r="O111" s="6" t="b">
        <v>1</v>
      </c>
    </row>
    <row r="112">
      <c r="B112" s="7" t="s">
        <v>110</v>
      </c>
      <c r="C112" s="7" t="s">
        <v>233</v>
      </c>
      <c r="D112" s="80">
        <v>46082.0</v>
      </c>
      <c r="E112" s="81">
        <v>46112.0</v>
      </c>
      <c r="F112" s="50">
        <v>300.0</v>
      </c>
      <c r="G112" s="50"/>
      <c r="H112" s="50"/>
      <c r="I112" s="50"/>
      <c r="J112" s="50"/>
      <c r="K112" s="50"/>
      <c r="L112" s="50"/>
      <c r="M112" s="50"/>
      <c r="N112" s="50"/>
      <c r="O112" s="6" t="b">
        <v>1</v>
      </c>
    </row>
    <row r="113">
      <c r="B113" s="7" t="s">
        <v>33</v>
      </c>
      <c r="C113" s="7" t="s">
        <v>234</v>
      </c>
      <c r="D113" s="80">
        <v>46082.0</v>
      </c>
      <c r="E113" s="81">
        <v>46112.0</v>
      </c>
      <c r="F113" s="50"/>
      <c r="G113" s="50"/>
      <c r="H113" s="50"/>
      <c r="I113" s="50"/>
      <c r="J113" s="50"/>
      <c r="K113" s="50">
        <v>300.0</v>
      </c>
      <c r="L113" s="50">
        <v>300.0</v>
      </c>
      <c r="M113" s="50"/>
      <c r="N113" s="50"/>
      <c r="O113" s="6" t="b">
        <v>1</v>
      </c>
    </row>
    <row r="114">
      <c r="B114" s="7" t="s">
        <v>235</v>
      </c>
      <c r="C114" s="7" t="s">
        <v>236</v>
      </c>
      <c r="D114" s="80">
        <v>46087.0</v>
      </c>
      <c r="E114" s="81">
        <v>46092.0</v>
      </c>
      <c r="F114" s="50"/>
      <c r="G114" s="50"/>
      <c r="H114" s="50"/>
      <c r="I114" s="50">
        <v>450.0</v>
      </c>
      <c r="J114" s="50"/>
      <c r="K114" s="50"/>
      <c r="L114" s="50"/>
      <c r="M114" s="50">
        <v>450.0</v>
      </c>
      <c r="N114" s="50"/>
      <c r="O114" s="6" t="b">
        <v>1</v>
      </c>
    </row>
    <row r="115">
      <c r="B115" s="7" t="s">
        <v>238</v>
      </c>
      <c r="C115" s="7" t="s">
        <v>82</v>
      </c>
      <c r="D115" s="80">
        <v>46086.0</v>
      </c>
      <c r="E115" s="81">
        <v>46116.0</v>
      </c>
      <c r="F115" s="50"/>
      <c r="G115" s="92"/>
      <c r="H115" s="92"/>
      <c r="I115" s="92"/>
      <c r="J115" s="50">
        <v>450.0</v>
      </c>
      <c r="K115" s="92"/>
      <c r="L115" s="92"/>
      <c r="M115" s="92"/>
      <c r="N115" s="92"/>
      <c r="O115" s="6" t="b">
        <v>1</v>
      </c>
    </row>
    <row r="116">
      <c r="B116" s="7" t="s">
        <v>241</v>
      </c>
      <c r="C116" s="7" t="s">
        <v>242</v>
      </c>
      <c r="D116" s="80">
        <v>46091.0</v>
      </c>
      <c r="E116" s="81">
        <v>46094.0</v>
      </c>
      <c r="F116" s="50"/>
      <c r="G116" s="50"/>
      <c r="H116" s="50"/>
      <c r="I116" s="50"/>
      <c r="J116" s="50">
        <v>450.0</v>
      </c>
      <c r="K116" s="50">
        <v>450.0</v>
      </c>
      <c r="L116" s="50"/>
      <c r="M116" s="50">
        <v>450.0</v>
      </c>
      <c r="N116" s="50"/>
      <c r="O116" s="6" t="b">
        <v>1</v>
      </c>
    </row>
    <row r="117">
      <c r="B117" s="7" t="s">
        <v>47</v>
      </c>
      <c r="C117" s="7" t="s">
        <v>178</v>
      </c>
      <c r="D117" s="80">
        <v>46095.0</v>
      </c>
      <c r="E117" s="81">
        <v>46112.0</v>
      </c>
      <c r="F117" s="50"/>
      <c r="G117" s="50"/>
      <c r="H117" s="50"/>
      <c r="I117" s="50"/>
      <c r="J117" s="50"/>
      <c r="K117" s="50"/>
      <c r="L117" s="50">
        <v>450.0</v>
      </c>
      <c r="M117" s="50"/>
      <c r="N117" s="50"/>
      <c r="O117" s="6" t="b">
        <v>1</v>
      </c>
    </row>
    <row r="118">
      <c r="B118" s="7" t="s">
        <v>91</v>
      </c>
      <c r="C118" s="7" t="s">
        <v>213</v>
      </c>
      <c r="D118" s="80">
        <v>46099.0</v>
      </c>
      <c r="E118" s="80">
        <v>46130.0</v>
      </c>
      <c r="F118" s="50"/>
      <c r="G118" s="50"/>
      <c r="H118" s="50"/>
      <c r="I118" s="50"/>
      <c r="J118" s="50"/>
      <c r="K118" s="50">
        <v>300.0</v>
      </c>
      <c r="L118" s="50"/>
      <c r="M118" s="50"/>
      <c r="N118" s="50"/>
      <c r="O118" s="6" t="b">
        <v>1</v>
      </c>
    </row>
    <row r="119">
      <c r="B119" s="7" t="s">
        <v>145</v>
      </c>
      <c r="C119" s="7" t="s">
        <v>40</v>
      </c>
      <c r="D119" s="80">
        <v>46096.0</v>
      </c>
      <c r="E119" s="81">
        <v>46126.0</v>
      </c>
      <c r="F119" s="50"/>
      <c r="G119" s="50"/>
      <c r="H119" s="50"/>
      <c r="I119" s="50"/>
      <c r="J119" s="50"/>
      <c r="K119" s="50">
        <v>450.0</v>
      </c>
      <c r="L119" s="50">
        <v>450.0</v>
      </c>
      <c r="M119" s="50"/>
      <c r="N119" s="50"/>
      <c r="O119" s="6" t="b">
        <v>1</v>
      </c>
    </row>
    <row r="120">
      <c r="B120" s="7" t="s">
        <v>195</v>
      </c>
      <c r="C120" s="7" t="s">
        <v>244</v>
      </c>
      <c r="D120" s="80">
        <v>46092.0</v>
      </c>
      <c r="E120" s="81">
        <v>46113.0</v>
      </c>
      <c r="F120" s="50"/>
      <c r="G120" s="50"/>
      <c r="H120" s="50"/>
      <c r="I120" s="50"/>
      <c r="J120" s="50"/>
      <c r="K120" s="50">
        <v>600.0</v>
      </c>
      <c r="L120" s="50">
        <v>600.0</v>
      </c>
      <c r="M120" s="50"/>
      <c r="N120" s="50"/>
      <c r="O120" s="6" t="b">
        <v>1</v>
      </c>
    </row>
    <row r="121">
      <c r="B121" s="7" t="s">
        <v>106</v>
      </c>
      <c r="C121" s="7" t="s">
        <v>99</v>
      </c>
      <c r="D121" s="80">
        <v>46054.0</v>
      </c>
      <c r="E121" s="81">
        <v>46387.0</v>
      </c>
      <c r="F121" s="50"/>
      <c r="G121" s="50"/>
      <c r="H121" s="50"/>
      <c r="I121" s="50"/>
      <c r="J121" s="50">
        <v>750.0</v>
      </c>
      <c r="K121" s="50"/>
      <c r="L121" s="50"/>
      <c r="M121" s="50"/>
      <c r="N121" s="50"/>
      <c r="O121" s="6" t="b">
        <v>0</v>
      </c>
    </row>
    <row r="122">
      <c r="B122" s="7" t="s">
        <v>245</v>
      </c>
      <c r="C122" s="7" t="s">
        <v>246</v>
      </c>
      <c r="D122" s="80">
        <v>46094.0</v>
      </c>
      <c r="E122" s="81">
        <v>46124.0</v>
      </c>
      <c r="F122" s="50"/>
      <c r="G122" s="50"/>
      <c r="H122" s="50"/>
      <c r="I122" s="50"/>
      <c r="J122" s="50"/>
      <c r="K122" s="50"/>
      <c r="L122" s="50">
        <v>300.0</v>
      </c>
      <c r="M122" s="50">
        <v>300.0</v>
      </c>
      <c r="N122" s="50"/>
      <c r="O122" s="6" t="b">
        <v>1</v>
      </c>
    </row>
    <row r="123">
      <c r="B123" s="7" t="s">
        <v>84</v>
      </c>
      <c r="C123" s="7" t="s">
        <v>247</v>
      </c>
      <c r="D123" s="80">
        <v>46094.0</v>
      </c>
      <c r="E123" s="81">
        <v>46126.0</v>
      </c>
      <c r="F123" s="50">
        <v>300.0</v>
      </c>
      <c r="G123" s="50"/>
      <c r="H123" s="50"/>
      <c r="I123" s="50"/>
      <c r="J123" s="50">
        <v>300.0</v>
      </c>
      <c r="K123" s="50"/>
      <c r="L123" s="50">
        <v>300.0</v>
      </c>
      <c r="M123" s="50"/>
      <c r="N123" s="50"/>
      <c r="O123" s="6" t="b">
        <v>1</v>
      </c>
    </row>
    <row r="124">
      <c r="B124" s="7" t="s">
        <v>249</v>
      </c>
      <c r="C124" s="7" t="s">
        <v>40</v>
      </c>
      <c r="D124" s="80">
        <v>46097.0</v>
      </c>
      <c r="E124" s="81">
        <v>46127.0</v>
      </c>
      <c r="F124" s="50"/>
      <c r="G124" s="50"/>
      <c r="H124" s="50"/>
      <c r="I124" s="50"/>
      <c r="J124" s="50"/>
      <c r="K124" s="50">
        <v>450.0</v>
      </c>
      <c r="L124" s="50"/>
      <c r="M124" s="50"/>
      <c r="N124" s="50"/>
      <c r="O124" s="6" t="b">
        <v>1</v>
      </c>
    </row>
    <row r="125">
      <c r="B125" s="7" t="s">
        <v>251</v>
      </c>
      <c r="C125" s="7" t="s">
        <v>247</v>
      </c>
      <c r="D125" s="80">
        <v>46097.0</v>
      </c>
      <c r="E125" s="81">
        <v>46112.0</v>
      </c>
      <c r="F125" s="50">
        <v>450.0</v>
      </c>
      <c r="G125" s="50"/>
      <c r="H125" s="50"/>
      <c r="I125" s="50"/>
      <c r="J125" s="50"/>
      <c r="K125" s="50">
        <v>450.0</v>
      </c>
      <c r="L125" s="50">
        <v>450.0</v>
      </c>
      <c r="M125" s="50"/>
      <c r="N125" s="50"/>
      <c r="O125" s="6" t="b">
        <v>1</v>
      </c>
    </row>
    <row r="126">
      <c r="B126" s="7" t="s">
        <v>180</v>
      </c>
      <c r="C126" s="7" t="s">
        <v>252</v>
      </c>
      <c r="D126" s="80">
        <v>46098.0</v>
      </c>
      <c r="E126" s="81">
        <v>46128.0</v>
      </c>
      <c r="F126" s="50"/>
      <c r="G126" s="50"/>
      <c r="H126" s="50"/>
      <c r="I126" s="50"/>
      <c r="J126" s="50">
        <v>450.0</v>
      </c>
      <c r="K126" s="50">
        <v>450.0</v>
      </c>
      <c r="L126" s="50"/>
      <c r="M126" s="50"/>
      <c r="N126" s="50"/>
      <c r="O126" s="6" t="b">
        <v>1</v>
      </c>
    </row>
    <row r="127">
      <c r="B127" s="7" t="s">
        <v>165</v>
      </c>
      <c r="C127" s="7" t="s">
        <v>213</v>
      </c>
      <c r="D127" s="80">
        <v>46099.0</v>
      </c>
      <c r="E127" s="81">
        <v>46129.0</v>
      </c>
      <c r="F127" s="50"/>
      <c r="G127" s="50"/>
      <c r="H127" s="50"/>
      <c r="I127" s="50"/>
      <c r="J127" s="50">
        <v>450.0</v>
      </c>
      <c r="K127" s="50"/>
      <c r="L127" s="50"/>
      <c r="M127" s="50">
        <v>450.0</v>
      </c>
      <c r="N127" s="50"/>
      <c r="O127" s="6" t="b">
        <v>1</v>
      </c>
    </row>
    <row r="128">
      <c r="B128" s="7" t="s">
        <v>47</v>
      </c>
      <c r="C128" s="7" t="s">
        <v>253</v>
      </c>
      <c r="D128" s="80">
        <v>46109.0</v>
      </c>
      <c r="E128" s="81">
        <v>46138.0</v>
      </c>
      <c r="F128" s="50">
        <v>450.0</v>
      </c>
      <c r="G128" s="50"/>
      <c r="H128" s="50"/>
      <c r="I128" s="50"/>
      <c r="J128" s="50"/>
      <c r="K128" s="50"/>
      <c r="L128" s="50"/>
      <c r="M128" s="50"/>
      <c r="N128" s="50"/>
      <c r="O128" s="6" t="b">
        <v>1</v>
      </c>
    </row>
    <row r="129">
      <c r="B129" s="7" t="s">
        <v>254</v>
      </c>
      <c r="C129" s="7" t="s">
        <v>255</v>
      </c>
      <c r="D129" s="80">
        <v>46104.0</v>
      </c>
      <c r="E129" s="81">
        <v>46134.0</v>
      </c>
      <c r="F129" s="50"/>
      <c r="G129" s="50"/>
      <c r="H129" s="50"/>
      <c r="I129" s="50"/>
      <c r="J129" s="50"/>
      <c r="K129" s="50">
        <v>300.0</v>
      </c>
      <c r="L129" s="50"/>
      <c r="M129" s="50"/>
      <c r="N129" s="50"/>
      <c r="O129" s="6" t="b">
        <v>1</v>
      </c>
    </row>
    <row r="130">
      <c r="B130" s="7" t="s">
        <v>56</v>
      </c>
      <c r="C130" s="7" t="s">
        <v>256</v>
      </c>
      <c r="D130" s="80">
        <v>46113.0</v>
      </c>
      <c r="E130" s="80">
        <v>46173.0</v>
      </c>
      <c r="F130" s="50">
        <v>450.0</v>
      </c>
      <c r="G130" s="50"/>
      <c r="H130" s="50"/>
      <c r="I130" s="50">
        <v>450.0</v>
      </c>
      <c r="J130" s="50"/>
      <c r="K130" s="50"/>
      <c r="L130" s="50"/>
      <c r="M130" s="50"/>
      <c r="N130" s="50"/>
      <c r="O130" s="6" t="b">
        <v>0</v>
      </c>
    </row>
    <row r="131">
      <c r="B131" s="7" t="s">
        <v>254</v>
      </c>
      <c r="C131" s="7" t="s">
        <v>255</v>
      </c>
      <c r="D131" s="80">
        <v>46106.0</v>
      </c>
      <c r="E131" s="81">
        <v>46136.0</v>
      </c>
      <c r="F131" s="50"/>
      <c r="G131" s="50"/>
      <c r="H131" s="50"/>
      <c r="I131" s="50"/>
      <c r="J131" s="50">
        <v>300.0</v>
      </c>
      <c r="K131" s="50"/>
      <c r="L131" s="50"/>
      <c r="M131" s="50"/>
      <c r="N131" s="50"/>
      <c r="O131" s="6" t="b">
        <v>1</v>
      </c>
    </row>
    <row r="132">
      <c r="B132" s="7" t="s">
        <v>257</v>
      </c>
      <c r="C132" s="7" t="s">
        <v>258</v>
      </c>
      <c r="D132" s="80">
        <v>46108.0</v>
      </c>
      <c r="E132" s="81">
        <v>46137.0</v>
      </c>
      <c r="F132" s="50"/>
      <c r="G132" s="50"/>
      <c r="H132" s="50"/>
      <c r="I132" s="50"/>
      <c r="J132" s="50">
        <v>300.0</v>
      </c>
      <c r="K132" s="50">
        <v>300.0</v>
      </c>
      <c r="L132" s="50"/>
      <c r="M132" s="50"/>
      <c r="N132" s="50"/>
      <c r="O132" s="6" t="b">
        <v>1</v>
      </c>
    </row>
    <row r="133">
      <c r="B133" s="7" t="s">
        <v>259</v>
      </c>
      <c r="C133" s="7" t="s">
        <v>260</v>
      </c>
      <c r="D133" s="80">
        <v>46107.0</v>
      </c>
      <c r="E133" s="81">
        <v>46115.0</v>
      </c>
      <c r="F133" s="50">
        <v>300.0</v>
      </c>
      <c r="G133" s="50"/>
      <c r="H133" s="50"/>
      <c r="I133" s="50">
        <v>300.0</v>
      </c>
      <c r="J133" s="50">
        <v>300.0</v>
      </c>
      <c r="K133" s="50">
        <v>300.0</v>
      </c>
      <c r="L133" s="50">
        <v>300.0</v>
      </c>
      <c r="M133" s="50">
        <v>300.0</v>
      </c>
      <c r="N133" s="50"/>
      <c r="O133" s="6" t="b">
        <v>1</v>
      </c>
    </row>
    <row r="134">
      <c r="B134" s="7" t="s">
        <v>145</v>
      </c>
      <c r="C134" s="7" t="s">
        <v>82</v>
      </c>
      <c r="D134" s="80">
        <v>46128.0</v>
      </c>
      <c r="E134" s="81">
        <v>46157.0</v>
      </c>
      <c r="F134" s="50"/>
      <c r="G134" s="50"/>
      <c r="H134" s="50"/>
      <c r="I134" s="50"/>
      <c r="J134" s="50"/>
      <c r="K134" s="50">
        <v>450.0</v>
      </c>
      <c r="L134" s="50">
        <v>450.0</v>
      </c>
      <c r="M134" s="50"/>
      <c r="N134" s="50"/>
      <c r="O134" s="6" t="b">
        <v>0</v>
      </c>
    </row>
    <row r="135">
      <c r="B135" s="7" t="s">
        <v>33</v>
      </c>
      <c r="C135" s="7" t="s">
        <v>82</v>
      </c>
      <c r="D135" s="80">
        <v>46143.0</v>
      </c>
      <c r="E135" s="81">
        <v>46173.0</v>
      </c>
      <c r="F135" s="50"/>
      <c r="G135" s="50"/>
      <c r="H135" s="50"/>
      <c r="I135" s="50"/>
      <c r="J135" s="50"/>
      <c r="K135" s="50">
        <v>300.0</v>
      </c>
      <c r="L135" s="50">
        <v>300.0</v>
      </c>
      <c r="M135" s="50"/>
      <c r="N135" s="50"/>
      <c r="O135" s="6" t="b">
        <v>0</v>
      </c>
    </row>
    <row r="136">
      <c r="B136" s="7" t="s">
        <v>110</v>
      </c>
      <c r="C136" s="7" t="s">
        <v>82</v>
      </c>
      <c r="D136" s="80">
        <v>46143.0</v>
      </c>
      <c r="E136" s="81">
        <v>46173.0</v>
      </c>
      <c r="F136" s="50">
        <v>300.0</v>
      </c>
      <c r="G136" s="50"/>
      <c r="H136" s="50"/>
      <c r="I136" s="50"/>
      <c r="J136" s="50"/>
      <c r="K136" s="50"/>
      <c r="L136" s="50"/>
      <c r="M136" s="50"/>
      <c r="N136" s="50"/>
      <c r="O136" s="6" t="b">
        <v>0</v>
      </c>
    </row>
    <row r="137">
      <c r="B137" s="93" t="s">
        <v>261</v>
      </c>
      <c r="C137" s="7" t="s">
        <v>213</v>
      </c>
      <c r="D137" s="80">
        <v>46108.0</v>
      </c>
      <c r="E137" s="81">
        <v>46142.0</v>
      </c>
      <c r="F137" s="50"/>
      <c r="G137" s="50"/>
      <c r="H137" s="50"/>
      <c r="I137" s="50">
        <v>450.0</v>
      </c>
      <c r="J137" s="50">
        <v>450.0</v>
      </c>
      <c r="K137" s="50">
        <v>450.0</v>
      </c>
      <c r="L137" s="50">
        <v>450.0</v>
      </c>
      <c r="M137" s="50">
        <v>300.0</v>
      </c>
      <c r="N137" s="50"/>
      <c r="O137" s="6" t="b">
        <v>0</v>
      </c>
    </row>
    <row r="138">
      <c r="B138" s="93" t="s">
        <v>150</v>
      </c>
      <c r="C138" s="7" t="s">
        <v>262</v>
      </c>
      <c r="D138" s="80">
        <v>46108.0</v>
      </c>
      <c r="E138" s="81">
        <v>46119.0</v>
      </c>
      <c r="F138" s="50"/>
      <c r="G138" s="50"/>
      <c r="H138" s="50"/>
      <c r="I138" s="50"/>
      <c r="J138" s="50"/>
      <c r="K138" s="50">
        <v>450.0</v>
      </c>
      <c r="L138" s="50">
        <v>450.0</v>
      </c>
      <c r="M138" s="50"/>
      <c r="N138" s="50"/>
      <c r="O138" s="6" t="b">
        <v>1</v>
      </c>
    </row>
    <row r="139">
      <c r="B139" s="93" t="s">
        <v>263</v>
      </c>
      <c r="C139" s="7" t="s">
        <v>264</v>
      </c>
      <c r="D139" s="80">
        <v>46109.0</v>
      </c>
      <c r="E139" s="81">
        <v>46139.0</v>
      </c>
      <c r="F139" s="50">
        <v>450.0</v>
      </c>
      <c r="G139" s="50"/>
      <c r="H139" s="50"/>
      <c r="I139" s="50"/>
      <c r="J139" s="50"/>
      <c r="K139" s="50"/>
      <c r="L139" s="50"/>
      <c r="M139" s="50"/>
      <c r="N139" s="50"/>
      <c r="O139" s="6" t="b">
        <v>1</v>
      </c>
    </row>
    <row r="140">
      <c r="B140" s="93" t="s">
        <v>265</v>
      </c>
      <c r="C140" s="7" t="s">
        <v>82</v>
      </c>
      <c r="D140" s="80">
        <v>46111.0</v>
      </c>
      <c r="E140" s="81">
        <v>46120.0</v>
      </c>
      <c r="F140" s="50">
        <v>300.0</v>
      </c>
      <c r="G140" s="50"/>
      <c r="H140" s="50"/>
      <c r="I140" s="50"/>
      <c r="J140" s="50"/>
      <c r="K140" s="50">
        <v>300.0</v>
      </c>
      <c r="L140" s="50">
        <v>300.0</v>
      </c>
      <c r="M140" s="50"/>
      <c r="N140" s="50"/>
      <c r="O140" s="6" t="b">
        <v>1</v>
      </c>
    </row>
    <row r="141">
      <c r="B141" s="93" t="s">
        <v>98</v>
      </c>
      <c r="C141" s="7" t="s">
        <v>82</v>
      </c>
      <c r="D141" s="80">
        <v>46113.0</v>
      </c>
      <c r="E141" s="81">
        <v>46142.0</v>
      </c>
      <c r="F141" s="50"/>
      <c r="G141" s="50"/>
      <c r="H141" s="50"/>
      <c r="I141" s="50"/>
      <c r="J141" s="50"/>
      <c r="K141" s="50">
        <v>300.0</v>
      </c>
      <c r="L141" s="50"/>
      <c r="M141" s="50"/>
      <c r="N141" s="50"/>
      <c r="O141" s="6" t="b">
        <v>0</v>
      </c>
    </row>
    <row r="142">
      <c r="B142" s="93" t="s">
        <v>159</v>
      </c>
      <c r="C142" s="7" t="s">
        <v>82</v>
      </c>
      <c r="D142" s="80">
        <v>46113.0</v>
      </c>
      <c r="E142" s="81">
        <v>46142.0</v>
      </c>
      <c r="F142" s="50"/>
      <c r="G142" s="50"/>
      <c r="H142" s="50"/>
      <c r="I142" s="50"/>
      <c r="J142" s="50"/>
      <c r="K142" s="50">
        <v>300.0</v>
      </c>
      <c r="L142" s="50"/>
      <c r="M142" s="50"/>
      <c r="N142" s="50"/>
      <c r="O142" s="6" t="b">
        <v>0</v>
      </c>
    </row>
    <row r="143">
      <c r="B143" s="94" t="s">
        <v>266</v>
      </c>
      <c r="C143" s="95" t="s">
        <v>82</v>
      </c>
      <c r="D143" s="96">
        <v>46111.0</v>
      </c>
      <c r="E143" s="97">
        <v>46142.0</v>
      </c>
      <c r="F143" s="98">
        <v>450.0</v>
      </c>
      <c r="G143" s="98"/>
      <c r="H143" s="98"/>
      <c r="I143" s="98"/>
      <c r="J143" s="98"/>
      <c r="K143" s="98">
        <v>450.0</v>
      </c>
      <c r="L143" s="98">
        <v>450.0</v>
      </c>
      <c r="M143" s="98"/>
      <c r="N143" s="98"/>
      <c r="O143" s="6" t="b">
        <v>0</v>
      </c>
    </row>
    <row r="144">
      <c r="B144" s="93" t="s">
        <v>267</v>
      </c>
      <c r="C144" s="7" t="s">
        <v>213</v>
      </c>
      <c r="D144" s="80">
        <v>46113.0</v>
      </c>
      <c r="E144" s="81">
        <v>46127.0</v>
      </c>
      <c r="F144" s="50"/>
      <c r="G144" s="50"/>
      <c r="H144" s="50"/>
      <c r="I144" s="50">
        <v>300.0</v>
      </c>
      <c r="J144" s="50"/>
      <c r="K144" s="50"/>
      <c r="L144" s="50"/>
      <c r="M144" s="50">
        <v>300.0</v>
      </c>
      <c r="N144" s="50"/>
      <c r="O144" s="6" t="b">
        <v>1</v>
      </c>
    </row>
    <row r="145">
      <c r="B145" s="93" t="s">
        <v>94</v>
      </c>
      <c r="C145" s="7" t="s">
        <v>82</v>
      </c>
      <c r="D145" s="80">
        <v>46113.0</v>
      </c>
      <c r="E145" s="81">
        <v>46142.0</v>
      </c>
      <c r="F145" s="50"/>
      <c r="G145" s="50"/>
      <c r="H145" s="50"/>
      <c r="I145" s="50">
        <v>450.0</v>
      </c>
      <c r="J145" s="50"/>
      <c r="K145" s="50"/>
      <c r="L145" s="50"/>
      <c r="M145" s="50">
        <v>450.0</v>
      </c>
      <c r="N145" s="50"/>
      <c r="O145" s="6" t="b">
        <v>0</v>
      </c>
    </row>
    <row r="146">
      <c r="B146" s="93" t="s">
        <v>268</v>
      </c>
      <c r="C146" s="7" t="s">
        <v>269</v>
      </c>
      <c r="D146" s="80">
        <v>46111.0</v>
      </c>
      <c r="E146" s="81">
        <v>46117.0</v>
      </c>
      <c r="F146" s="50"/>
      <c r="G146" s="50"/>
      <c r="H146" s="50"/>
      <c r="I146" s="50"/>
      <c r="J146" s="50"/>
      <c r="K146" s="50">
        <v>450.0</v>
      </c>
      <c r="L146" s="50">
        <v>450.0</v>
      </c>
      <c r="M146" s="50"/>
      <c r="N146" s="50"/>
      <c r="O146" s="6" t="b">
        <v>1</v>
      </c>
    </row>
    <row r="147">
      <c r="B147" s="93" t="s">
        <v>220</v>
      </c>
      <c r="C147" s="7" t="s">
        <v>82</v>
      </c>
      <c r="D147" s="80">
        <v>46143.0</v>
      </c>
      <c r="E147" s="81">
        <v>46172.0</v>
      </c>
      <c r="F147" s="50"/>
      <c r="G147" s="50"/>
      <c r="H147" s="50"/>
      <c r="I147" s="50"/>
      <c r="J147" s="50"/>
      <c r="K147" s="50"/>
      <c r="L147" s="50"/>
      <c r="M147" s="50">
        <v>450.0</v>
      </c>
      <c r="N147" s="50"/>
      <c r="O147" s="6" t="b">
        <v>0</v>
      </c>
    </row>
    <row r="148">
      <c r="B148" s="93" t="s">
        <v>270</v>
      </c>
      <c r="C148" s="7" t="s">
        <v>82</v>
      </c>
      <c r="D148" s="80">
        <v>46143.0</v>
      </c>
      <c r="E148" s="81">
        <v>46173.0</v>
      </c>
      <c r="F148" s="50">
        <v>450.0</v>
      </c>
      <c r="G148" s="50"/>
      <c r="H148" s="50"/>
      <c r="I148" s="50"/>
      <c r="J148" s="50"/>
      <c r="K148" s="50">
        <v>450.0</v>
      </c>
      <c r="L148" s="50"/>
      <c r="M148" s="50"/>
      <c r="N148" s="50"/>
      <c r="O148" s="6" t="b">
        <v>0</v>
      </c>
    </row>
    <row r="149">
      <c r="B149" s="93" t="s">
        <v>271</v>
      </c>
      <c r="C149" s="7" t="s">
        <v>272</v>
      </c>
      <c r="D149" s="80">
        <v>46127.0</v>
      </c>
      <c r="E149" s="81">
        <v>46156.0</v>
      </c>
      <c r="F149" s="50">
        <v>300.0</v>
      </c>
      <c r="G149" s="50"/>
      <c r="H149" s="50"/>
      <c r="I149" s="50"/>
      <c r="J149" s="50">
        <v>300.0</v>
      </c>
      <c r="K149" s="50"/>
      <c r="L149" s="50">
        <v>300.0</v>
      </c>
      <c r="M149" s="50"/>
      <c r="N149" s="50"/>
      <c r="O149" s="6" t="b">
        <v>0</v>
      </c>
    </row>
    <row r="150">
      <c r="B150" s="7" t="s">
        <v>273</v>
      </c>
      <c r="C150" s="7" t="s">
        <v>274</v>
      </c>
      <c r="D150" s="80">
        <v>46118.0</v>
      </c>
      <c r="E150" s="81">
        <v>46147.0</v>
      </c>
      <c r="F150" s="50">
        <v>450.0</v>
      </c>
      <c r="G150" s="50"/>
      <c r="H150" s="50"/>
      <c r="I150" s="50"/>
      <c r="J150" s="50">
        <v>450.0</v>
      </c>
      <c r="K150" s="50"/>
      <c r="L150" s="50"/>
      <c r="M150" s="50"/>
      <c r="N150" s="50"/>
      <c r="O150" s="6" t="b">
        <v>0</v>
      </c>
    </row>
    <row r="151">
      <c r="B151" s="7" t="s">
        <v>275</v>
      </c>
      <c r="C151" s="7" t="s">
        <v>276</v>
      </c>
      <c r="D151" s="80">
        <v>46120.0</v>
      </c>
      <c r="E151" s="81">
        <v>46149.0</v>
      </c>
      <c r="F151" s="50"/>
      <c r="G151" s="50"/>
      <c r="H151" s="50"/>
      <c r="I151" s="50"/>
      <c r="J151" s="50">
        <v>300.0</v>
      </c>
      <c r="K151" s="50"/>
      <c r="L151" s="50"/>
      <c r="M151" s="50"/>
      <c r="N151" s="50"/>
      <c r="O151" s="6" t="b">
        <v>0</v>
      </c>
    </row>
    <row r="152">
      <c r="B152" s="7" t="s">
        <v>277</v>
      </c>
      <c r="C152" s="7" t="s">
        <v>278</v>
      </c>
      <c r="D152" s="80">
        <v>46121.0</v>
      </c>
      <c r="E152" s="81">
        <v>46150.0</v>
      </c>
      <c r="F152" s="50"/>
      <c r="G152" s="50"/>
      <c r="H152" s="50"/>
      <c r="I152" s="50"/>
      <c r="J152" s="50">
        <v>450.0</v>
      </c>
      <c r="K152" s="50"/>
      <c r="L152" s="50"/>
      <c r="M152" s="50"/>
      <c r="N152" s="50"/>
      <c r="O152" s="6" t="b">
        <v>0</v>
      </c>
    </row>
    <row r="153">
      <c r="B153" s="7" t="s">
        <v>143</v>
      </c>
      <c r="C153" s="7" t="s">
        <v>279</v>
      </c>
      <c r="D153" s="80">
        <v>46122.0</v>
      </c>
      <c r="E153" s="81">
        <v>46151.0</v>
      </c>
      <c r="F153" s="50"/>
      <c r="G153" s="50"/>
      <c r="H153" s="50"/>
      <c r="I153" s="50"/>
      <c r="J153" s="50"/>
      <c r="K153" s="50"/>
      <c r="L153" s="50">
        <v>300.0</v>
      </c>
      <c r="M153" s="50">
        <v>300.0</v>
      </c>
      <c r="N153" s="50"/>
      <c r="O153" s="6" t="b">
        <v>0</v>
      </c>
    </row>
    <row r="154">
      <c r="B154" s="7" t="s">
        <v>280</v>
      </c>
      <c r="C154" s="7" t="s">
        <v>281</v>
      </c>
      <c r="D154" s="80">
        <v>46122.0</v>
      </c>
      <c r="E154" s="81">
        <v>46130.0</v>
      </c>
      <c r="F154" s="50"/>
      <c r="G154" s="50"/>
      <c r="H154" s="50"/>
      <c r="I154" s="50">
        <v>300.0</v>
      </c>
      <c r="J154" s="50"/>
      <c r="K154" s="50"/>
      <c r="L154" s="50">
        <v>300.0</v>
      </c>
      <c r="M154" s="50">
        <v>300.0</v>
      </c>
      <c r="N154" s="50"/>
      <c r="O154" s="6" t="b">
        <v>1</v>
      </c>
    </row>
    <row r="155">
      <c r="B155" s="7" t="s">
        <v>282</v>
      </c>
      <c r="C155" s="7" t="s">
        <v>283</v>
      </c>
      <c r="D155" s="80">
        <v>46125.0</v>
      </c>
      <c r="E155" s="81">
        <v>46138.0</v>
      </c>
      <c r="F155" s="50"/>
      <c r="G155" s="50"/>
      <c r="H155" s="50"/>
      <c r="I155" s="50"/>
      <c r="J155" s="50">
        <v>450.0</v>
      </c>
      <c r="K155" s="50"/>
      <c r="L155" s="50"/>
      <c r="M155" s="50"/>
      <c r="N155" s="50"/>
      <c r="O155" s="6" t="b">
        <v>1</v>
      </c>
    </row>
    <row r="156">
      <c r="B156" s="7" t="s">
        <v>195</v>
      </c>
      <c r="C156" s="7" t="s">
        <v>284</v>
      </c>
      <c r="D156" s="80">
        <v>46127.0</v>
      </c>
      <c r="E156" s="99">
        <v>46160.0</v>
      </c>
      <c r="F156" s="50">
        <v>450.0</v>
      </c>
      <c r="G156" s="50"/>
      <c r="H156" s="50"/>
      <c r="I156" s="50"/>
      <c r="J156" s="50"/>
      <c r="K156" s="50">
        <v>450.0</v>
      </c>
      <c r="L156" s="50">
        <v>450.0</v>
      </c>
      <c r="M156" s="50"/>
      <c r="N156" s="50"/>
      <c r="O156" s="6" t="b">
        <v>0</v>
      </c>
    </row>
    <row r="157">
      <c r="B157" s="7" t="s">
        <v>66</v>
      </c>
      <c r="C157" s="7" t="s">
        <v>82</v>
      </c>
      <c r="D157" s="80">
        <v>46113.0</v>
      </c>
      <c r="E157" s="81">
        <v>46142.0</v>
      </c>
      <c r="F157" s="50"/>
      <c r="G157" s="50"/>
      <c r="H157" s="50"/>
      <c r="I157" s="50"/>
      <c r="J157" s="50"/>
      <c r="K157" s="50">
        <v>900.0</v>
      </c>
      <c r="L157" s="50"/>
      <c r="M157" s="50"/>
      <c r="N157" s="50"/>
      <c r="O157" s="6" t="b">
        <v>0</v>
      </c>
    </row>
    <row r="158">
      <c r="B158" s="7" t="s">
        <v>249</v>
      </c>
      <c r="C158" s="7" t="s">
        <v>82</v>
      </c>
      <c r="D158" s="80">
        <v>46128.0</v>
      </c>
      <c r="E158" s="81">
        <v>46157.0</v>
      </c>
      <c r="F158" s="50"/>
      <c r="G158" s="50"/>
      <c r="H158" s="50"/>
      <c r="I158" s="50"/>
      <c r="J158" s="50"/>
      <c r="K158" s="50">
        <v>450.0</v>
      </c>
      <c r="L158" s="50"/>
      <c r="M158" s="50"/>
      <c r="N158" s="50"/>
      <c r="O158" s="6" t="b">
        <v>0</v>
      </c>
    </row>
    <row r="159">
      <c r="B159" s="7" t="s">
        <v>91</v>
      </c>
      <c r="C159" s="7" t="s">
        <v>285</v>
      </c>
      <c r="D159" s="80">
        <v>46130.0</v>
      </c>
      <c r="E159" s="81">
        <v>46159.0</v>
      </c>
      <c r="F159" s="50"/>
      <c r="G159" s="50"/>
      <c r="H159" s="50"/>
      <c r="I159" s="50"/>
      <c r="J159" s="50"/>
      <c r="K159" s="50">
        <v>300.0</v>
      </c>
      <c r="L159" s="50"/>
      <c r="M159" s="50"/>
      <c r="N159" s="50"/>
      <c r="O159" s="6" t="b">
        <v>0</v>
      </c>
    </row>
    <row r="160">
      <c r="B160" s="7" t="s">
        <v>286</v>
      </c>
      <c r="C160" s="7" t="s">
        <v>287</v>
      </c>
      <c r="D160" s="80">
        <v>46132.0</v>
      </c>
      <c r="E160" s="81">
        <v>46142.0</v>
      </c>
      <c r="F160" s="50">
        <v>300.0</v>
      </c>
      <c r="G160" s="50"/>
      <c r="H160" s="50"/>
      <c r="I160" s="50">
        <v>300.0</v>
      </c>
      <c r="J160" s="50">
        <v>300.0</v>
      </c>
      <c r="K160" s="50">
        <v>300.0</v>
      </c>
      <c r="L160" s="50">
        <v>300.0</v>
      </c>
      <c r="M160" s="50">
        <v>300.0</v>
      </c>
      <c r="N160" s="50"/>
      <c r="O160" s="6" t="b">
        <v>0</v>
      </c>
    </row>
    <row r="161">
      <c r="B161" s="7" t="s">
        <v>47</v>
      </c>
      <c r="C161" s="7" t="s">
        <v>188</v>
      </c>
      <c r="D161" s="80">
        <v>46139.0</v>
      </c>
      <c r="E161" s="81">
        <v>46168.0</v>
      </c>
      <c r="F161" s="50">
        <v>450.0</v>
      </c>
      <c r="G161" s="50"/>
      <c r="H161" s="50"/>
      <c r="I161" s="50"/>
      <c r="J161" s="50"/>
      <c r="K161" s="50"/>
      <c r="L161" s="50">
        <v>450.0</v>
      </c>
      <c r="M161" s="50"/>
      <c r="N161" s="50"/>
      <c r="O161" s="6" t="b">
        <v>0</v>
      </c>
    </row>
    <row r="162">
      <c r="B162" s="7" t="s">
        <v>47</v>
      </c>
      <c r="C162" s="7" t="s">
        <v>288</v>
      </c>
      <c r="D162" s="80">
        <v>46139.0</v>
      </c>
      <c r="E162" s="81">
        <v>46142.0</v>
      </c>
      <c r="F162" s="50"/>
      <c r="G162" s="50"/>
      <c r="H162" s="50"/>
      <c r="I162" s="50"/>
      <c r="J162" s="50">
        <v>900.0</v>
      </c>
      <c r="K162" s="50"/>
      <c r="L162" s="50"/>
      <c r="M162" s="50"/>
      <c r="N162" s="50"/>
      <c r="O162" s="6" t="b">
        <v>0</v>
      </c>
    </row>
    <row r="163">
      <c r="B163" s="7" t="s">
        <v>47</v>
      </c>
      <c r="C163" s="7" t="s">
        <v>288</v>
      </c>
      <c r="D163" s="80">
        <v>46143.0</v>
      </c>
      <c r="E163" s="81">
        <v>46153.0</v>
      </c>
      <c r="F163" s="50"/>
      <c r="G163" s="50"/>
      <c r="H163" s="50"/>
      <c r="I163" s="50"/>
      <c r="J163" s="50">
        <v>450.0</v>
      </c>
      <c r="K163" s="50"/>
      <c r="L163" s="50"/>
      <c r="M163" s="50"/>
      <c r="N163" s="50"/>
      <c r="O163" s="6" t="b">
        <v>0</v>
      </c>
    </row>
    <row r="164">
      <c r="B164" s="7" t="s">
        <v>47</v>
      </c>
      <c r="C164" s="7" t="s">
        <v>288</v>
      </c>
      <c r="D164" s="80">
        <v>46154.0</v>
      </c>
      <c r="E164" s="81">
        <v>46168.0</v>
      </c>
      <c r="F164" s="50"/>
      <c r="G164" s="50"/>
      <c r="H164" s="50"/>
      <c r="I164" s="50"/>
      <c r="J164" s="50"/>
      <c r="K164" s="50"/>
      <c r="L164" s="50">
        <v>450.0</v>
      </c>
      <c r="M164" s="50"/>
      <c r="N164" s="50"/>
      <c r="O164" s="6" t="b">
        <v>0</v>
      </c>
    </row>
    <row r="165">
      <c r="B165" s="7" t="s">
        <v>66</v>
      </c>
      <c r="C165" s="7" t="s">
        <v>82</v>
      </c>
      <c r="D165" s="80">
        <v>46143.0</v>
      </c>
      <c r="E165" s="81">
        <v>46173.0</v>
      </c>
      <c r="F165" s="50"/>
      <c r="G165" s="50"/>
      <c r="H165" s="50"/>
      <c r="I165" s="50"/>
      <c r="J165" s="50"/>
      <c r="K165" s="50">
        <v>900.0</v>
      </c>
      <c r="L165" s="50"/>
      <c r="M165" s="50"/>
      <c r="N165" s="50"/>
      <c r="O165" s="6" t="b">
        <v>0</v>
      </c>
    </row>
    <row r="166">
      <c r="B166" s="7" t="s">
        <v>90</v>
      </c>
      <c r="C166" s="7" t="s">
        <v>285</v>
      </c>
      <c r="D166" s="80">
        <v>46139.0</v>
      </c>
      <c r="E166" s="81">
        <v>46229.0</v>
      </c>
      <c r="F166" s="50"/>
      <c r="G166" s="50"/>
      <c r="H166" s="50"/>
      <c r="I166" s="50"/>
      <c r="J166" s="50"/>
      <c r="K166" s="50">
        <v>300.0</v>
      </c>
      <c r="L166" s="50"/>
      <c r="M166" s="50"/>
      <c r="N166" s="50"/>
      <c r="O166" s="6" t="b">
        <v>0</v>
      </c>
    </row>
    <row r="167">
      <c r="B167" s="7" t="s">
        <v>261</v>
      </c>
      <c r="C167" s="7" t="s">
        <v>82</v>
      </c>
      <c r="D167" s="80">
        <v>46143.0</v>
      </c>
      <c r="E167" s="81">
        <v>46157.0</v>
      </c>
      <c r="F167" s="50"/>
      <c r="G167" s="50"/>
      <c r="H167" s="50"/>
      <c r="I167" s="50">
        <v>450.0</v>
      </c>
      <c r="J167" s="50">
        <v>450.0</v>
      </c>
      <c r="K167" s="50"/>
      <c r="L167" s="50"/>
      <c r="M167" s="50">
        <v>300.0</v>
      </c>
      <c r="N167" s="50"/>
      <c r="O167" s="6" t="b">
        <v>0</v>
      </c>
    </row>
    <row r="168">
      <c r="B168" s="7" t="s">
        <v>286</v>
      </c>
      <c r="C168" s="7" t="s">
        <v>289</v>
      </c>
      <c r="D168" s="80">
        <v>46141.0</v>
      </c>
      <c r="E168" s="80">
        <v>46173.0</v>
      </c>
      <c r="F168" s="50">
        <v>300.0</v>
      </c>
      <c r="G168" s="50"/>
      <c r="H168" s="50"/>
      <c r="I168" s="50">
        <v>300.0</v>
      </c>
      <c r="J168" s="50">
        <v>300.0</v>
      </c>
      <c r="K168" s="50">
        <v>300.0</v>
      </c>
      <c r="L168" s="50">
        <v>300.0</v>
      </c>
      <c r="M168" s="50">
        <v>300.0</v>
      </c>
      <c r="N168" s="50"/>
      <c r="O168" s="6" t="b">
        <v>1</v>
      </c>
    </row>
    <row r="169">
      <c r="B169" s="7" t="s">
        <v>290</v>
      </c>
      <c r="C169" s="7" t="s">
        <v>82</v>
      </c>
      <c r="D169" s="80">
        <v>46142.0</v>
      </c>
      <c r="E169" s="81">
        <v>46171.0</v>
      </c>
      <c r="F169" s="50">
        <v>900.0</v>
      </c>
      <c r="G169" s="50"/>
      <c r="H169" s="50"/>
      <c r="I169" s="50"/>
      <c r="J169" s="50"/>
      <c r="K169" s="50"/>
      <c r="L169" s="50"/>
      <c r="M169" s="50"/>
      <c r="N169" s="50"/>
      <c r="O169" s="6" t="b">
        <v>1</v>
      </c>
    </row>
    <row r="170">
      <c r="B170" s="7" t="s">
        <v>291</v>
      </c>
      <c r="C170" s="7" t="s">
        <v>292</v>
      </c>
      <c r="D170" s="80">
        <v>46143.0</v>
      </c>
      <c r="E170" s="81">
        <v>46144.0</v>
      </c>
      <c r="F170" s="50">
        <v>900.0</v>
      </c>
      <c r="G170" s="50"/>
      <c r="H170" s="50"/>
      <c r="I170" s="50">
        <v>900.0</v>
      </c>
      <c r="J170" s="50">
        <v>900.0</v>
      </c>
      <c r="K170" s="50">
        <v>900.0</v>
      </c>
      <c r="L170" s="50">
        <v>900.0</v>
      </c>
      <c r="M170" s="50">
        <v>900.0</v>
      </c>
      <c r="N170" s="50"/>
      <c r="O170" s="6" t="b">
        <v>1</v>
      </c>
    </row>
    <row r="171">
      <c r="B171" s="7" t="s">
        <v>293</v>
      </c>
      <c r="C171" s="7" t="s">
        <v>294</v>
      </c>
      <c r="D171" s="80">
        <v>46142.0</v>
      </c>
      <c r="E171" s="81">
        <v>46171.0</v>
      </c>
      <c r="F171" s="50"/>
      <c r="G171" s="50"/>
      <c r="H171" s="50"/>
      <c r="I171" s="50">
        <v>450.0</v>
      </c>
      <c r="J171" s="50">
        <v>450.0</v>
      </c>
      <c r="K171" s="50">
        <v>450.0</v>
      </c>
      <c r="L171" s="50">
        <v>450.0</v>
      </c>
      <c r="M171" s="50"/>
      <c r="N171" s="50"/>
      <c r="O171" s="6" t="b">
        <v>1</v>
      </c>
    </row>
    <row r="172">
      <c r="B172" s="7" t="s">
        <v>159</v>
      </c>
      <c r="C172" s="7" t="s">
        <v>295</v>
      </c>
      <c r="D172" s="80">
        <v>46147.0</v>
      </c>
      <c r="E172" s="81">
        <v>46173.0</v>
      </c>
      <c r="F172" s="50"/>
      <c r="G172" s="50"/>
      <c r="H172" s="50"/>
      <c r="I172" s="50"/>
      <c r="J172" s="50"/>
      <c r="K172" s="50">
        <v>300.0</v>
      </c>
      <c r="L172" s="50"/>
      <c r="M172" s="50"/>
      <c r="N172" s="50"/>
      <c r="O172" s="6" t="b">
        <v>1</v>
      </c>
    </row>
    <row r="173">
      <c r="B173" s="7" t="s">
        <v>94</v>
      </c>
      <c r="C173" s="7"/>
      <c r="D173" s="80">
        <v>46146.0</v>
      </c>
      <c r="E173" s="81">
        <v>46173.0</v>
      </c>
      <c r="F173" s="50"/>
      <c r="G173" s="50"/>
      <c r="H173" s="50"/>
      <c r="I173" s="50">
        <v>450.0</v>
      </c>
      <c r="J173" s="50"/>
      <c r="K173" s="50"/>
      <c r="L173" s="50"/>
      <c r="M173" s="50">
        <v>450.0</v>
      </c>
      <c r="N173" s="50"/>
      <c r="O173" s="6" t="b">
        <v>0</v>
      </c>
    </row>
    <row r="174">
      <c r="B174" s="7" t="s">
        <v>282</v>
      </c>
      <c r="C174" s="7" t="s">
        <v>296</v>
      </c>
      <c r="D174" s="80">
        <v>46146.0</v>
      </c>
      <c r="E174" s="81">
        <v>46159.0</v>
      </c>
      <c r="F174" s="50"/>
      <c r="G174" s="50"/>
      <c r="H174" s="50"/>
      <c r="I174" s="50"/>
      <c r="J174" s="50">
        <v>450.0</v>
      </c>
      <c r="K174" s="50"/>
      <c r="L174" s="50"/>
      <c r="M174" s="50"/>
      <c r="N174" s="50"/>
      <c r="O174" s="6" t="b">
        <v>0</v>
      </c>
    </row>
    <row r="175">
      <c r="B175" s="7" t="s">
        <v>249</v>
      </c>
      <c r="C175" s="7"/>
      <c r="D175" s="80"/>
      <c r="E175" s="81"/>
      <c r="F175" s="50"/>
      <c r="G175" s="50"/>
      <c r="H175" s="50"/>
      <c r="I175" s="50"/>
      <c r="J175" s="50"/>
      <c r="K175" s="50"/>
      <c r="L175" s="50"/>
      <c r="M175" s="50"/>
      <c r="N175" s="50"/>
      <c r="O175" s="6" t="b">
        <v>0</v>
      </c>
    </row>
    <row r="176">
      <c r="B176" s="7" t="s">
        <v>91</v>
      </c>
      <c r="C176" s="7" t="s">
        <v>297</v>
      </c>
      <c r="D176" s="80">
        <v>46160.0</v>
      </c>
      <c r="E176" s="81">
        <v>46190.0</v>
      </c>
      <c r="F176" s="50"/>
      <c r="G176" s="50"/>
      <c r="H176" s="50"/>
      <c r="I176" s="50"/>
      <c r="J176" s="50"/>
      <c r="K176" s="50">
        <v>300.0</v>
      </c>
      <c r="L176" s="50"/>
      <c r="M176" s="50"/>
      <c r="N176" s="50"/>
      <c r="O176" s="6" t="b">
        <v>0</v>
      </c>
    </row>
    <row r="177">
      <c r="B177" s="7" t="s">
        <v>277</v>
      </c>
      <c r="C177" s="7" t="s">
        <v>298</v>
      </c>
      <c r="D177" s="80">
        <v>46151.0</v>
      </c>
      <c r="E177" s="81">
        <v>46182.0</v>
      </c>
      <c r="F177" s="50"/>
      <c r="G177" s="50"/>
      <c r="H177" s="50"/>
      <c r="I177" s="50"/>
      <c r="J177" s="50">
        <v>300.0</v>
      </c>
      <c r="K177" s="50"/>
      <c r="L177" s="50"/>
      <c r="M177" s="50"/>
      <c r="N177" s="50"/>
      <c r="O177" s="6" t="b">
        <v>0</v>
      </c>
    </row>
    <row r="178">
      <c r="B178" s="7" t="s">
        <v>299</v>
      </c>
      <c r="C178" s="7" t="s">
        <v>300</v>
      </c>
      <c r="D178" s="80">
        <v>46143.0</v>
      </c>
      <c r="E178" s="81">
        <v>46173.0</v>
      </c>
      <c r="F178" s="50"/>
      <c r="G178" s="50"/>
      <c r="H178" s="50"/>
      <c r="I178" s="50"/>
      <c r="J178" s="50"/>
      <c r="K178" s="50">
        <v>450.0</v>
      </c>
      <c r="L178" s="50"/>
      <c r="M178" s="50">
        <v>450.0</v>
      </c>
      <c r="N178" s="50"/>
      <c r="O178" s="6" t="b">
        <v>0</v>
      </c>
    </row>
    <row r="179">
      <c r="B179" s="7" t="s">
        <v>235</v>
      </c>
      <c r="C179" s="7" t="s">
        <v>301</v>
      </c>
      <c r="D179" s="80">
        <v>46151.0</v>
      </c>
      <c r="E179" s="81">
        <v>46157.0</v>
      </c>
      <c r="F179" s="50"/>
      <c r="G179" s="50"/>
      <c r="H179" s="50"/>
      <c r="I179" s="50">
        <v>450.0</v>
      </c>
      <c r="J179" s="50">
        <v>450.0</v>
      </c>
      <c r="K179" s="50"/>
      <c r="L179" s="50"/>
      <c r="M179" s="50"/>
      <c r="N179" s="50"/>
      <c r="O179" s="6" t="b">
        <v>0</v>
      </c>
    </row>
    <row r="180">
      <c r="B180" s="7" t="s">
        <v>261</v>
      </c>
      <c r="C180" s="7" t="s">
        <v>302</v>
      </c>
      <c r="D180" s="80">
        <v>46158.0</v>
      </c>
      <c r="E180" s="100">
        <v>46173.0</v>
      </c>
      <c r="F180" s="50"/>
      <c r="G180" s="50"/>
      <c r="H180" s="50"/>
      <c r="I180" s="50"/>
      <c r="J180" s="50"/>
      <c r="K180" s="50">
        <v>450.0</v>
      </c>
      <c r="L180" s="50">
        <v>450.0</v>
      </c>
      <c r="M180" s="50">
        <v>450.0</v>
      </c>
      <c r="N180" s="50"/>
      <c r="O180" s="6" t="b">
        <v>0</v>
      </c>
    </row>
    <row r="181">
      <c r="B181" s="7" t="s">
        <v>303</v>
      </c>
      <c r="C181" s="7" t="s">
        <v>304</v>
      </c>
      <c r="D181" s="80">
        <v>46161.0</v>
      </c>
      <c r="E181" s="81">
        <v>46252.0</v>
      </c>
      <c r="F181" s="50"/>
      <c r="G181" s="50"/>
      <c r="H181" s="50"/>
      <c r="I181" s="50"/>
      <c r="J181" s="50"/>
      <c r="K181" s="50">
        <v>450.0</v>
      </c>
      <c r="L181" s="50">
        <v>450.0</v>
      </c>
      <c r="M181" s="50"/>
      <c r="N181" s="50"/>
      <c r="O181" s="6" t="b">
        <v>0</v>
      </c>
    </row>
    <row r="182">
      <c r="B182" s="7" t="s">
        <v>56</v>
      </c>
      <c r="C182" s="7" t="s">
        <v>305</v>
      </c>
      <c r="D182" s="80">
        <v>46142.0</v>
      </c>
      <c r="E182" s="81">
        <v>46188.0</v>
      </c>
      <c r="F182" s="50">
        <v>900.0</v>
      </c>
      <c r="G182" s="50"/>
      <c r="H182" s="50"/>
      <c r="I182" s="50"/>
      <c r="J182" s="50"/>
      <c r="K182" s="50"/>
      <c r="L182" s="50"/>
      <c r="M182" s="50"/>
      <c r="N182" s="50"/>
      <c r="O182" s="6" t="b">
        <v>0</v>
      </c>
    </row>
    <row r="183">
      <c r="B183" s="7" t="s">
        <v>306</v>
      </c>
      <c r="C183" s="7" t="s">
        <v>307</v>
      </c>
      <c r="D183" s="80">
        <v>46177.0</v>
      </c>
      <c r="E183" s="81">
        <v>46206.0</v>
      </c>
      <c r="F183" s="50"/>
      <c r="G183" s="50"/>
      <c r="H183" s="50"/>
      <c r="I183" s="50"/>
      <c r="J183" s="50"/>
      <c r="K183" s="50">
        <v>450.0</v>
      </c>
      <c r="L183" s="50"/>
      <c r="M183" s="50"/>
      <c r="N183" s="50"/>
      <c r="O183" s="6" t="b">
        <v>0</v>
      </c>
    </row>
    <row r="184">
      <c r="B184" s="7" t="s">
        <v>75</v>
      </c>
      <c r="C184" s="7" t="s">
        <v>308</v>
      </c>
      <c r="D184" s="80">
        <v>46185.0</v>
      </c>
      <c r="E184" s="81">
        <v>46246.0</v>
      </c>
      <c r="F184" s="50">
        <v>300.0</v>
      </c>
      <c r="G184" s="50">
        <v>300.0</v>
      </c>
      <c r="H184" s="50"/>
      <c r="I184" s="50">
        <v>300.0</v>
      </c>
      <c r="J184" s="50">
        <v>300.0</v>
      </c>
      <c r="K184" s="50">
        <v>300.0</v>
      </c>
      <c r="L184" s="50">
        <v>300.0</v>
      </c>
      <c r="M184" s="50">
        <v>300.0</v>
      </c>
      <c r="N184" s="50"/>
      <c r="O184" s="6" t="b">
        <v>0</v>
      </c>
    </row>
    <row r="185">
      <c r="B185" s="101" t="s">
        <v>309</v>
      </c>
      <c r="C185" s="7" t="s">
        <v>310</v>
      </c>
      <c r="D185" s="80">
        <v>46185.0</v>
      </c>
      <c r="E185" s="81">
        <v>46214.0</v>
      </c>
      <c r="F185" s="50"/>
      <c r="G185" s="50"/>
      <c r="H185" s="50"/>
      <c r="I185" s="50"/>
      <c r="J185" s="50">
        <v>450.0</v>
      </c>
      <c r="K185" s="50">
        <v>450.0</v>
      </c>
      <c r="L185" s="50"/>
      <c r="M185" s="50"/>
      <c r="N185" s="50"/>
      <c r="O185" s="6" t="b">
        <v>0</v>
      </c>
    </row>
    <row r="186">
      <c r="B186" s="7" t="s">
        <v>311</v>
      </c>
      <c r="C186" s="7" t="s">
        <v>312</v>
      </c>
      <c r="D186" s="80">
        <v>46188.0</v>
      </c>
      <c r="E186" s="81">
        <v>46219.0</v>
      </c>
      <c r="F186" s="50"/>
      <c r="G186" s="50"/>
      <c r="H186" s="50"/>
      <c r="I186" s="50"/>
      <c r="J186" s="50">
        <v>300.0</v>
      </c>
      <c r="K186" s="50"/>
      <c r="L186" s="50">
        <v>300.0</v>
      </c>
      <c r="M186" s="50"/>
      <c r="N186" s="50"/>
      <c r="O186" s="6" t="b">
        <v>0</v>
      </c>
    </row>
    <row r="187">
      <c r="B187" s="7" t="s">
        <v>313</v>
      </c>
      <c r="C187" s="7" t="s">
        <v>314</v>
      </c>
      <c r="D187" s="80">
        <v>46181.0</v>
      </c>
      <c r="E187" s="81">
        <v>46213.0</v>
      </c>
      <c r="F187" s="50"/>
      <c r="G187" s="50"/>
      <c r="H187" s="50"/>
      <c r="I187" s="50">
        <v>300.0</v>
      </c>
      <c r="J187" s="50">
        <v>300.0</v>
      </c>
      <c r="K187" s="50">
        <v>300.0</v>
      </c>
      <c r="L187" s="50">
        <v>300.0</v>
      </c>
      <c r="M187" s="50">
        <v>300.0</v>
      </c>
      <c r="N187" s="50"/>
      <c r="O187" s="6" t="b">
        <v>0</v>
      </c>
    </row>
    <row r="188">
      <c r="B188" s="7" t="s">
        <v>118</v>
      </c>
      <c r="C188" s="7" t="s">
        <v>315</v>
      </c>
      <c r="D188" s="80">
        <v>46189.0</v>
      </c>
      <c r="E188" s="81">
        <v>46211.0</v>
      </c>
      <c r="F188" s="50"/>
      <c r="G188" s="50"/>
      <c r="H188" s="50"/>
      <c r="I188" s="50"/>
      <c r="J188" s="50"/>
      <c r="K188" s="50"/>
      <c r="L188" s="50"/>
      <c r="M188" s="50"/>
      <c r="N188" s="50">
        <v>300.0</v>
      </c>
      <c r="O188" s="6" t="b">
        <v>0</v>
      </c>
    </row>
    <row r="189">
      <c r="B189" s="7" t="s">
        <v>89</v>
      </c>
      <c r="C189" s="7" t="s">
        <v>316</v>
      </c>
      <c r="D189" s="80">
        <v>46192.0</v>
      </c>
      <c r="E189" s="80">
        <v>46203.0</v>
      </c>
      <c r="F189" s="50"/>
      <c r="G189" s="50"/>
      <c r="H189" s="50"/>
      <c r="I189" s="50">
        <v>300.0</v>
      </c>
      <c r="J189" s="50"/>
      <c r="K189" s="50"/>
      <c r="L189" s="50">
        <v>300.0</v>
      </c>
      <c r="M189" s="50">
        <v>300.0</v>
      </c>
      <c r="N189" s="50"/>
      <c r="O189" s="6" t="b">
        <v>0</v>
      </c>
    </row>
    <row r="190">
      <c r="B190" s="7" t="s">
        <v>277</v>
      </c>
      <c r="C190" s="7" t="s">
        <v>318</v>
      </c>
      <c r="D190" s="80">
        <v>46196.0</v>
      </c>
      <c r="E190" s="80">
        <v>46225.0</v>
      </c>
      <c r="F190" s="50">
        <v>300.0</v>
      </c>
      <c r="G190" s="50"/>
      <c r="H190" s="50"/>
      <c r="I190" s="50"/>
      <c r="J190" s="50"/>
      <c r="K190" s="50"/>
      <c r="L190" s="50"/>
      <c r="M190" s="50"/>
      <c r="N190" s="50"/>
      <c r="O190" s="6" t="b">
        <v>0</v>
      </c>
    </row>
    <row r="191">
      <c r="B191" s="7" t="s">
        <v>319</v>
      </c>
      <c r="C191" s="7" t="s">
        <v>320</v>
      </c>
      <c r="D191" s="80">
        <v>46196.0</v>
      </c>
      <c r="E191" s="80">
        <v>46234.0</v>
      </c>
      <c r="F191" s="50">
        <v>300.0</v>
      </c>
      <c r="G191" s="50"/>
      <c r="H191" s="50"/>
      <c r="I191" s="50"/>
      <c r="J191" s="50"/>
      <c r="K191" s="50"/>
      <c r="L191" s="50">
        <v>300.0</v>
      </c>
      <c r="M191" s="50"/>
      <c r="N191" s="50"/>
      <c r="O191" s="6" t="b">
        <v>0</v>
      </c>
    </row>
    <row r="192">
      <c r="B192" s="7" t="s">
        <v>235</v>
      </c>
      <c r="C192" s="7" t="s">
        <v>322</v>
      </c>
      <c r="D192" s="80">
        <v>46196.0</v>
      </c>
      <c r="E192" s="80">
        <v>46234.0</v>
      </c>
      <c r="F192" s="50"/>
      <c r="G192" s="50"/>
      <c r="H192" s="50">
        <v>450.0</v>
      </c>
      <c r="I192" s="50">
        <v>450.0</v>
      </c>
      <c r="J192" s="50"/>
      <c r="K192" s="50"/>
      <c r="L192" s="50"/>
      <c r="M192" s="50">
        <v>450.0</v>
      </c>
      <c r="N192" s="50"/>
      <c r="O192" s="6" t="b">
        <v>0</v>
      </c>
    </row>
    <row r="193">
      <c r="B193" s="7" t="s">
        <v>323</v>
      </c>
      <c r="C193" s="7" t="s">
        <v>324</v>
      </c>
      <c r="D193" s="80">
        <v>46199.0</v>
      </c>
      <c r="E193" s="80">
        <v>46223.0</v>
      </c>
      <c r="F193" s="50">
        <v>450.0</v>
      </c>
      <c r="G193" s="50"/>
      <c r="H193" s="50">
        <v>450.0</v>
      </c>
      <c r="I193" s="50">
        <v>450.0</v>
      </c>
      <c r="J193" s="50"/>
      <c r="K193" s="50"/>
      <c r="L193" s="50">
        <v>450.0</v>
      </c>
      <c r="M193" s="50">
        <v>450.0</v>
      </c>
      <c r="N193" s="50"/>
      <c r="O193" s="6" t="b">
        <v>0</v>
      </c>
    </row>
    <row r="194">
      <c r="B194" s="7" t="s">
        <v>47</v>
      </c>
      <c r="C194" s="7" t="s">
        <v>325</v>
      </c>
      <c r="D194" s="80">
        <v>46200.0</v>
      </c>
      <c r="E194" s="80">
        <v>46214.0</v>
      </c>
      <c r="F194" s="50">
        <v>450.0</v>
      </c>
      <c r="G194" s="50">
        <v>450.0</v>
      </c>
      <c r="H194" s="50"/>
      <c r="I194" s="50">
        <v>450.0</v>
      </c>
      <c r="J194" s="50">
        <v>450.0</v>
      </c>
      <c r="K194" s="50"/>
      <c r="L194" s="50">
        <v>450.0</v>
      </c>
      <c r="M194" s="50"/>
      <c r="N194" s="50"/>
      <c r="O194" s="6" t="b">
        <v>0</v>
      </c>
    </row>
    <row r="195">
      <c r="B195" s="7" t="s">
        <v>84</v>
      </c>
      <c r="C195" s="7" t="s">
        <v>326</v>
      </c>
      <c r="D195" s="80">
        <v>46202.0</v>
      </c>
      <c r="E195" s="80">
        <v>46233.0</v>
      </c>
      <c r="F195" s="50">
        <v>300.0</v>
      </c>
      <c r="G195" s="50"/>
      <c r="H195" s="50"/>
      <c r="I195" s="50"/>
      <c r="J195" s="50">
        <v>300.0</v>
      </c>
      <c r="K195" s="50"/>
      <c r="L195" s="50">
        <v>300.0</v>
      </c>
      <c r="M195" s="50"/>
      <c r="N195" s="50"/>
      <c r="O195" s="6" t="b">
        <v>0</v>
      </c>
    </row>
    <row r="196">
      <c r="B196" s="102" t="s">
        <v>327</v>
      </c>
      <c r="C196" s="7" t="s">
        <v>328</v>
      </c>
      <c r="D196" s="80">
        <v>46198.0</v>
      </c>
      <c r="E196" s="80">
        <v>46258.0</v>
      </c>
      <c r="F196" s="50"/>
      <c r="G196" s="50"/>
      <c r="H196" s="50"/>
      <c r="I196" s="50"/>
      <c r="J196" s="50"/>
      <c r="K196" s="50">
        <v>450.0</v>
      </c>
      <c r="L196" s="50">
        <v>450.0</v>
      </c>
      <c r="M196" s="50"/>
      <c r="N196" s="50"/>
      <c r="O196" s="6" t="b">
        <v>0</v>
      </c>
    </row>
    <row r="197">
      <c r="B197" s="7" t="s">
        <v>311</v>
      </c>
      <c r="C197" s="7" t="s">
        <v>330</v>
      </c>
      <c r="D197" s="80">
        <v>46204.0</v>
      </c>
      <c r="E197" s="80">
        <v>46224.0</v>
      </c>
      <c r="F197" s="50"/>
      <c r="G197" s="50"/>
      <c r="H197" s="50"/>
      <c r="I197" s="50"/>
      <c r="J197" s="50">
        <v>300.0</v>
      </c>
      <c r="K197" s="50"/>
      <c r="L197" s="50">
        <v>300.0</v>
      </c>
      <c r="M197" s="50"/>
      <c r="N197" s="50"/>
      <c r="O197" s="6" t="b">
        <v>0</v>
      </c>
    </row>
    <row r="198">
      <c r="B198" s="7" t="s">
        <v>195</v>
      </c>
      <c r="C198" s="7" t="s">
        <v>331</v>
      </c>
      <c r="D198" s="80">
        <v>46204.0</v>
      </c>
      <c r="E198" s="80">
        <v>46233.0</v>
      </c>
      <c r="F198" s="50"/>
      <c r="G198" s="50"/>
      <c r="H198" s="50"/>
      <c r="I198" s="50"/>
      <c r="J198" s="50">
        <v>450.0</v>
      </c>
      <c r="K198" s="50">
        <v>450.0</v>
      </c>
      <c r="L198" s="50"/>
      <c r="M198" s="50"/>
      <c r="N198" s="50"/>
      <c r="O198" s="6" t="b">
        <v>0</v>
      </c>
    </row>
    <row r="199">
      <c r="B199" s="7" t="s">
        <v>220</v>
      </c>
      <c r="C199" s="7" t="s">
        <v>332</v>
      </c>
      <c r="D199" s="80">
        <v>46204.0</v>
      </c>
      <c r="E199" s="80">
        <v>46234.0</v>
      </c>
      <c r="F199" s="50"/>
      <c r="G199" s="50"/>
      <c r="H199" s="50"/>
      <c r="I199" s="50"/>
      <c r="J199" s="50"/>
      <c r="K199" s="50"/>
      <c r="L199" s="50"/>
      <c r="M199" s="50">
        <v>450.0</v>
      </c>
      <c r="N199" s="50"/>
      <c r="O199" s="6" t="b">
        <v>0</v>
      </c>
    </row>
    <row r="200">
      <c r="B200" s="7" t="s">
        <v>106</v>
      </c>
      <c r="C200" s="7" t="s">
        <v>317</v>
      </c>
      <c r="D200" s="80">
        <v>46204.0</v>
      </c>
      <c r="E200" s="80">
        <v>46387.0</v>
      </c>
      <c r="F200" s="50">
        <v>450.0</v>
      </c>
      <c r="G200" s="50"/>
      <c r="H200" s="50"/>
      <c r="I200" s="50"/>
      <c r="J200" s="50"/>
      <c r="K200" s="50"/>
      <c r="L200" s="50"/>
      <c r="M200" s="50"/>
      <c r="N200" s="50"/>
      <c r="O200" s="6" t="b">
        <v>0</v>
      </c>
    </row>
    <row r="201">
      <c r="B201" s="7" t="s">
        <v>334</v>
      </c>
      <c r="C201" s="7" t="s">
        <v>335</v>
      </c>
      <c r="D201" s="80">
        <v>46204.0</v>
      </c>
      <c r="E201" s="80">
        <v>46234.0</v>
      </c>
      <c r="F201" s="50">
        <v>450.0</v>
      </c>
      <c r="G201" s="50"/>
      <c r="H201" s="50"/>
      <c r="I201" s="50"/>
      <c r="J201" s="50"/>
      <c r="K201" s="50">
        <v>450.0</v>
      </c>
      <c r="L201" s="50"/>
      <c r="M201" s="50"/>
      <c r="N201" s="50"/>
      <c r="O201" s="6" t="b">
        <v>0</v>
      </c>
    </row>
    <row r="202">
      <c r="B202" s="7" t="s">
        <v>336</v>
      </c>
      <c r="C202" s="7" t="s">
        <v>337</v>
      </c>
      <c r="D202" s="80">
        <v>46204.0</v>
      </c>
      <c r="E202" s="80">
        <v>46234.0</v>
      </c>
      <c r="F202" s="50">
        <v>300.0</v>
      </c>
      <c r="G202" s="50"/>
      <c r="H202" s="50"/>
      <c r="I202" s="50"/>
      <c r="J202" s="50"/>
      <c r="K202" s="50"/>
      <c r="L202" s="50"/>
      <c r="M202" s="50"/>
      <c r="N202" s="50"/>
      <c r="O202" s="6" t="b">
        <v>0</v>
      </c>
    </row>
    <row r="203">
      <c r="B203" s="7" t="s">
        <v>336</v>
      </c>
      <c r="C203" s="7" t="s">
        <v>33</v>
      </c>
      <c r="D203" s="80">
        <v>46204.0</v>
      </c>
      <c r="E203" s="80">
        <v>46234.0</v>
      </c>
      <c r="F203" s="50" t="s">
        <v>338</v>
      </c>
      <c r="G203" s="50"/>
      <c r="H203" s="50"/>
      <c r="I203" s="50"/>
      <c r="J203" s="50"/>
      <c r="K203" s="50">
        <v>300.0</v>
      </c>
      <c r="L203" s="50">
        <v>300.0</v>
      </c>
      <c r="M203" s="50"/>
      <c r="N203" s="50"/>
      <c r="O203" s="6" t="b">
        <v>0</v>
      </c>
    </row>
    <row r="204">
      <c r="B204" s="7" t="s">
        <v>261</v>
      </c>
      <c r="C204" s="7" t="s">
        <v>302</v>
      </c>
      <c r="D204" s="80">
        <v>46204.0</v>
      </c>
      <c r="E204" s="80">
        <v>46234.0</v>
      </c>
      <c r="F204" s="50"/>
      <c r="G204" s="50"/>
      <c r="H204" s="50">
        <v>450.0</v>
      </c>
      <c r="I204" s="50"/>
      <c r="J204" s="50">
        <v>450.0</v>
      </c>
      <c r="K204" s="50">
        <v>450.0</v>
      </c>
      <c r="L204" s="50">
        <v>450.0</v>
      </c>
      <c r="M204" s="50">
        <v>300.0</v>
      </c>
      <c r="N204" s="50"/>
      <c r="O204" s="6" t="b">
        <v>0</v>
      </c>
    </row>
    <row r="205">
      <c r="B205" s="7" t="s">
        <v>159</v>
      </c>
      <c r="C205" s="7" t="s">
        <v>302</v>
      </c>
      <c r="D205" s="80">
        <v>46204.0</v>
      </c>
      <c r="E205" s="80">
        <v>46234.0</v>
      </c>
      <c r="F205" s="50"/>
      <c r="G205" s="50"/>
      <c r="H205" s="50">
        <v>300.0</v>
      </c>
      <c r="I205" s="50"/>
      <c r="J205" s="50"/>
      <c r="K205" s="50">
        <v>300.0</v>
      </c>
      <c r="L205" s="50"/>
      <c r="M205" s="50">
        <v>300.0</v>
      </c>
      <c r="N205" s="50"/>
      <c r="O205" s="6" t="b">
        <v>0</v>
      </c>
    </row>
    <row r="206">
      <c r="B206" s="7" t="s">
        <v>340</v>
      </c>
      <c r="C206" s="7" t="s">
        <v>302</v>
      </c>
      <c r="D206" s="80">
        <v>46204.0</v>
      </c>
      <c r="E206" s="80">
        <v>46234.0</v>
      </c>
      <c r="F206" s="50"/>
      <c r="G206" s="50"/>
      <c r="H206" s="50"/>
      <c r="I206" s="50"/>
      <c r="J206" s="50"/>
      <c r="K206" s="50">
        <v>300.0</v>
      </c>
      <c r="L206" s="50"/>
      <c r="M206" s="50"/>
      <c r="N206" s="50"/>
      <c r="O206" s="6" t="b">
        <v>0</v>
      </c>
    </row>
    <row r="207">
      <c r="B207" s="7" t="s">
        <v>241</v>
      </c>
      <c r="C207" s="7" t="s">
        <v>342</v>
      </c>
      <c r="D207" s="80">
        <v>46206.0</v>
      </c>
      <c r="E207" s="80">
        <v>46234.0</v>
      </c>
      <c r="F207" s="50"/>
      <c r="G207" s="50"/>
      <c r="H207" s="50"/>
      <c r="I207" s="50"/>
      <c r="J207" s="50"/>
      <c r="K207" s="50"/>
      <c r="L207" s="50"/>
      <c r="M207" s="50"/>
      <c r="N207" s="50"/>
      <c r="O207" s="6" t="b">
        <v>0</v>
      </c>
    </row>
    <row r="208">
      <c r="B208" s="7" t="s">
        <v>343</v>
      </c>
      <c r="C208" s="7" t="s">
        <v>344</v>
      </c>
      <c r="D208" s="80">
        <v>46206.0</v>
      </c>
      <c r="E208" s="80">
        <v>46234.0</v>
      </c>
      <c r="F208" s="50"/>
      <c r="G208" s="50"/>
      <c r="H208" s="50"/>
      <c r="I208" s="50">
        <v>450.0</v>
      </c>
      <c r="J208" s="50">
        <v>450.0</v>
      </c>
      <c r="K208" s="50">
        <v>450.0</v>
      </c>
      <c r="L208" s="50">
        <v>450.0</v>
      </c>
      <c r="M208" s="50">
        <v>450.0</v>
      </c>
      <c r="N208" s="50"/>
      <c r="O208" s="6" t="b">
        <v>0</v>
      </c>
    </row>
    <row r="209">
      <c r="B209" s="7" t="s">
        <v>55</v>
      </c>
      <c r="C209" s="7" t="s">
        <v>302</v>
      </c>
      <c r="D209" s="80">
        <v>46204.0</v>
      </c>
      <c r="E209" s="80">
        <v>46234.0</v>
      </c>
      <c r="F209" s="50"/>
      <c r="G209" s="50"/>
      <c r="H209" s="50"/>
      <c r="I209" s="50">
        <v>450.0</v>
      </c>
      <c r="J209" s="50"/>
      <c r="K209" s="50"/>
      <c r="L209" s="50">
        <v>450.0</v>
      </c>
      <c r="M209" s="50"/>
      <c r="N209" s="50"/>
      <c r="O209" s="6" t="b">
        <v>0</v>
      </c>
    </row>
    <row r="210">
      <c r="B210" s="7" t="s">
        <v>200</v>
      </c>
      <c r="C210" s="7" t="s">
        <v>345</v>
      </c>
      <c r="D210" s="80">
        <v>46212.0</v>
      </c>
      <c r="E210" s="80">
        <v>46223.0</v>
      </c>
      <c r="F210" s="50"/>
      <c r="G210" s="50"/>
      <c r="H210" s="50"/>
      <c r="I210" s="50"/>
      <c r="J210" s="50"/>
      <c r="K210" s="50"/>
      <c r="L210" s="104"/>
      <c r="M210" s="50"/>
      <c r="N210" s="50"/>
      <c r="O210" s="6" t="b">
        <v>0</v>
      </c>
    </row>
    <row r="211">
      <c r="B211" s="7" t="s">
        <v>200</v>
      </c>
      <c r="C211" s="7" t="s">
        <v>347</v>
      </c>
      <c r="D211" s="7" t="s">
        <v>348</v>
      </c>
      <c r="E211" s="80">
        <v>46253.0</v>
      </c>
      <c r="F211" s="50"/>
      <c r="G211" s="50"/>
      <c r="H211" s="50"/>
      <c r="I211" s="50"/>
      <c r="J211" s="50"/>
      <c r="K211" s="50"/>
      <c r="L211" s="50"/>
      <c r="M211" s="50"/>
      <c r="N211" s="50"/>
      <c r="O211" s="6" t="b">
        <v>0</v>
      </c>
    </row>
    <row r="212">
      <c r="B212" s="7" t="s">
        <v>138</v>
      </c>
      <c r="C212" s="7" t="s">
        <v>349</v>
      </c>
      <c r="D212" s="7" t="s">
        <v>350</v>
      </c>
      <c r="E212" s="80">
        <v>46260.0</v>
      </c>
      <c r="F212" s="50"/>
      <c r="G212" s="50"/>
      <c r="H212" s="50"/>
      <c r="I212" s="50">
        <v>450.0</v>
      </c>
      <c r="J212" s="50">
        <v>450.0</v>
      </c>
      <c r="K212" s="50">
        <v>450.0</v>
      </c>
      <c r="L212" s="50">
        <v>450.0</v>
      </c>
      <c r="M212" s="50">
        <v>450.0</v>
      </c>
      <c r="N212" s="50"/>
      <c r="O212" s="6" t="b">
        <v>0</v>
      </c>
    </row>
    <row r="213">
      <c r="B213" s="7"/>
      <c r="C213" s="7"/>
      <c r="D213" s="80"/>
      <c r="E213" s="81"/>
      <c r="F213" s="50"/>
      <c r="G213" s="50"/>
      <c r="H213" s="50"/>
      <c r="I213" s="50"/>
      <c r="J213" s="50"/>
      <c r="K213" s="50"/>
      <c r="L213" s="50"/>
      <c r="M213" s="50"/>
      <c r="N213" s="50"/>
      <c r="O213" s="6" t="b">
        <v>0</v>
      </c>
    </row>
    <row r="214">
      <c r="B214" s="7"/>
      <c r="C214" s="7"/>
      <c r="D214" s="80"/>
      <c r="E214" s="81"/>
      <c r="F214" s="50"/>
      <c r="G214" s="50"/>
      <c r="H214" s="50"/>
      <c r="I214" s="50"/>
      <c r="J214" s="50"/>
      <c r="K214" s="50"/>
      <c r="L214" s="50"/>
      <c r="M214" s="50"/>
      <c r="N214" s="50"/>
      <c r="O214" s="6" t="b">
        <v>0</v>
      </c>
    </row>
    <row r="215">
      <c r="B215" s="7"/>
      <c r="C215" s="7"/>
      <c r="D215" s="80"/>
      <c r="E215" s="81"/>
      <c r="F215" s="50"/>
      <c r="G215" s="50"/>
      <c r="H215" s="50"/>
      <c r="I215" s="50"/>
      <c r="J215" s="50"/>
      <c r="K215" s="50"/>
      <c r="L215" s="50"/>
      <c r="M215" s="50"/>
      <c r="N215" s="50"/>
      <c r="O215" s="6" t="b">
        <v>0</v>
      </c>
    </row>
    <row r="216">
      <c r="B216" s="7"/>
      <c r="C216" s="7"/>
      <c r="D216" s="80"/>
      <c r="E216" s="81"/>
      <c r="F216" s="50"/>
      <c r="G216" s="50"/>
      <c r="H216" s="50"/>
      <c r="I216" s="50"/>
      <c r="J216" s="50"/>
      <c r="K216" s="50"/>
      <c r="L216" s="50"/>
      <c r="M216" s="50"/>
      <c r="N216" s="50"/>
      <c r="O216" s="105" t="b">
        <v>0</v>
      </c>
    </row>
    <row r="217">
      <c r="B217" s="7"/>
      <c r="C217" s="7"/>
      <c r="D217" s="80"/>
      <c r="E217" s="81"/>
      <c r="F217" s="50"/>
      <c r="G217" s="50"/>
      <c r="H217" s="50"/>
      <c r="I217" s="50"/>
      <c r="J217" s="50"/>
      <c r="K217" s="50"/>
      <c r="L217" s="50"/>
      <c r="M217" s="50"/>
      <c r="N217" s="50"/>
      <c r="O217" s="105" t="b">
        <v>0</v>
      </c>
    </row>
    <row r="218">
      <c r="B218" s="7"/>
      <c r="C218" s="7"/>
      <c r="D218" s="80"/>
      <c r="E218" s="81"/>
      <c r="F218" s="50"/>
      <c r="G218" s="50"/>
      <c r="H218" s="50"/>
      <c r="I218" s="50"/>
      <c r="J218" s="50"/>
      <c r="K218" s="50"/>
      <c r="L218" s="50"/>
      <c r="M218" s="50"/>
      <c r="N218" s="50"/>
      <c r="O218" s="6" t="b">
        <v>0</v>
      </c>
    </row>
    <row r="219">
      <c r="B219" s="7"/>
      <c r="C219" s="7"/>
      <c r="D219" s="80"/>
      <c r="E219" s="81"/>
      <c r="F219" s="50"/>
      <c r="G219" s="50"/>
      <c r="H219" s="50"/>
      <c r="I219" s="50"/>
      <c r="J219" s="50"/>
      <c r="K219" s="50"/>
      <c r="L219" s="50"/>
      <c r="M219" s="50"/>
      <c r="N219" s="50"/>
      <c r="O219" s="6" t="b">
        <v>0</v>
      </c>
    </row>
    <row r="220">
      <c r="B220" s="7"/>
      <c r="C220" s="7"/>
      <c r="D220" s="80"/>
      <c r="E220" s="81"/>
      <c r="F220" s="50"/>
      <c r="G220" s="50"/>
      <c r="H220" s="50"/>
      <c r="I220" s="50"/>
      <c r="J220" s="50"/>
      <c r="K220" s="50"/>
      <c r="L220" s="50"/>
      <c r="M220" s="50"/>
      <c r="N220" s="50"/>
      <c r="O220" s="6" t="b">
        <v>0</v>
      </c>
    </row>
    <row r="221">
      <c r="B221" s="7"/>
      <c r="C221" s="7"/>
      <c r="D221" s="80"/>
      <c r="E221" s="81"/>
      <c r="F221" s="50"/>
      <c r="G221" s="50"/>
      <c r="H221" s="50"/>
      <c r="I221" s="50"/>
      <c r="J221" s="50"/>
      <c r="K221" s="50"/>
      <c r="L221" s="50"/>
      <c r="M221" s="50"/>
      <c r="N221" s="50"/>
      <c r="O221" s="6" t="b">
        <v>0</v>
      </c>
    </row>
    <row r="222">
      <c r="B222" s="7"/>
      <c r="C222" s="7"/>
      <c r="D222" s="80"/>
      <c r="E222" s="81"/>
      <c r="F222" s="50"/>
      <c r="G222" s="50"/>
      <c r="H222" s="50"/>
      <c r="I222" s="50"/>
      <c r="J222" s="50"/>
      <c r="K222" s="50"/>
      <c r="L222" s="50"/>
      <c r="M222" s="50"/>
      <c r="N222" s="50"/>
      <c r="O222" s="6" t="b">
        <v>0</v>
      </c>
    </row>
    <row r="223">
      <c r="B223" s="7"/>
      <c r="C223" s="7"/>
      <c r="D223" s="80"/>
      <c r="E223" s="81"/>
      <c r="F223" s="50"/>
      <c r="G223" s="50"/>
      <c r="H223" s="50"/>
      <c r="I223" s="50"/>
      <c r="J223" s="50"/>
      <c r="K223" s="50"/>
      <c r="L223" s="50"/>
      <c r="M223" s="50"/>
      <c r="N223" s="50"/>
      <c r="O223" s="6" t="b">
        <v>0</v>
      </c>
    </row>
    <row r="224">
      <c r="B224" s="7"/>
      <c r="C224" s="7"/>
      <c r="D224" s="80"/>
      <c r="E224" s="81"/>
      <c r="F224" s="50"/>
      <c r="G224" s="50"/>
      <c r="H224" s="50"/>
      <c r="I224" s="50"/>
      <c r="J224" s="50"/>
      <c r="K224" s="50"/>
      <c r="L224" s="50"/>
      <c r="M224" s="50"/>
      <c r="N224" s="50"/>
      <c r="O224" s="6" t="b">
        <v>0</v>
      </c>
    </row>
    <row r="225">
      <c r="B225" s="7"/>
      <c r="C225" s="7"/>
      <c r="D225" s="80"/>
      <c r="E225" s="81"/>
      <c r="F225" s="50"/>
      <c r="G225" s="50"/>
      <c r="H225" s="50"/>
      <c r="I225" s="50"/>
      <c r="J225" s="50"/>
      <c r="K225" s="50"/>
      <c r="L225" s="50"/>
      <c r="M225" s="50"/>
      <c r="N225" s="50"/>
      <c r="O225" s="6" t="b">
        <v>0</v>
      </c>
    </row>
    <row r="226">
      <c r="B226" s="7"/>
      <c r="C226" s="7"/>
      <c r="D226" s="80"/>
      <c r="E226" s="81"/>
      <c r="F226" s="50"/>
      <c r="G226" s="50"/>
      <c r="H226" s="50"/>
      <c r="I226" s="50"/>
      <c r="J226" s="50"/>
      <c r="K226" s="50"/>
      <c r="L226" s="50"/>
      <c r="M226" s="50"/>
      <c r="N226" s="50"/>
      <c r="O226" s="105" t="b">
        <v>0</v>
      </c>
    </row>
    <row r="227">
      <c r="B227" s="7"/>
      <c r="C227" s="7"/>
      <c r="D227" s="80"/>
      <c r="E227" s="81"/>
      <c r="F227" s="50"/>
      <c r="G227" s="50"/>
      <c r="H227" s="50"/>
      <c r="I227" s="50"/>
      <c r="J227" s="50"/>
      <c r="K227" s="50"/>
      <c r="L227" s="50"/>
      <c r="M227" s="50"/>
      <c r="N227" s="50"/>
      <c r="O227" s="6" t="b">
        <v>0</v>
      </c>
    </row>
    <row r="228">
      <c r="B228" s="7"/>
      <c r="C228" s="7"/>
      <c r="D228" s="80"/>
      <c r="E228" s="81"/>
      <c r="F228" s="50"/>
      <c r="G228" s="50"/>
      <c r="H228" s="50"/>
      <c r="I228" s="50"/>
      <c r="J228" s="50"/>
      <c r="K228" s="50"/>
      <c r="L228" s="50"/>
      <c r="M228" s="50"/>
      <c r="N228" s="50"/>
      <c r="O228" s="105" t="b">
        <v>0</v>
      </c>
    </row>
    <row r="229">
      <c r="B229" s="7"/>
      <c r="C229" s="7"/>
      <c r="D229" s="80"/>
      <c r="E229" s="81"/>
      <c r="F229" s="50"/>
      <c r="G229" s="50"/>
      <c r="H229" s="50"/>
      <c r="I229" s="50"/>
      <c r="J229" s="50"/>
      <c r="K229" s="50"/>
      <c r="L229" s="50"/>
      <c r="M229" s="50"/>
      <c r="N229" s="50"/>
      <c r="O229" s="105" t="b">
        <v>0</v>
      </c>
    </row>
    <row r="230">
      <c r="B230" s="7"/>
      <c r="C230" s="7"/>
      <c r="D230" s="80"/>
      <c r="E230" s="106"/>
      <c r="F230" s="50"/>
      <c r="G230" s="50"/>
      <c r="H230" s="50"/>
      <c r="I230" s="50"/>
      <c r="J230" s="50"/>
      <c r="K230" s="50"/>
      <c r="L230" s="50"/>
      <c r="M230" s="50"/>
      <c r="N230" s="50"/>
      <c r="O230" s="105" t="b">
        <v>0</v>
      </c>
    </row>
    <row r="231">
      <c r="B231" s="7"/>
      <c r="C231" s="7"/>
      <c r="D231" s="80"/>
      <c r="E231" s="106"/>
      <c r="F231" s="50"/>
      <c r="G231" s="50"/>
      <c r="H231" s="50"/>
      <c r="I231" s="50"/>
      <c r="J231" s="50"/>
      <c r="K231" s="50"/>
      <c r="L231" s="50"/>
      <c r="M231" s="50"/>
      <c r="N231" s="50"/>
      <c r="O231" s="105" t="b">
        <v>0</v>
      </c>
    </row>
    <row r="232">
      <c r="B232" s="7"/>
      <c r="C232" s="7"/>
      <c r="D232" s="80"/>
      <c r="E232" s="81"/>
      <c r="F232" s="50"/>
      <c r="G232" s="50"/>
      <c r="H232" s="50"/>
      <c r="I232" s="50"/>
      <c r="J232" s="50"/>
      <c r="K232" s="50"/>
      <c r="L232" s="50"/>
      <c r="M232" s="50"/>
      <c r="N232" s="50"/>
      <c r="O232" s="6" t="b">
        <v>0</v>
      </c>
    </row>
    <row r="233">
      <c r="B233" s="7"/>
      <c r="C233" s="7"/>
      <c r="D233" s="80"/>
      <c r="E233" s="81"/>
      <c r="F233" s="50"/>
      <c r="G233" s="50"/>
      <c r="H233" s="50"/>
      <c r="I233" s="50"/>
      <c r="J233" s="50"/>
      <c r="K233" s="50"/>
      <c r="L233" s="50"/>
      <c r="M233" s="50"/>
      <c r="N233" s="50"/>
      <c r="O233" s="105" t="b">
        <v>0</v>
      </c>
    </row>
    <row r="234">
      <c r="B234" s="7"/>
      <c r="C234" s="7"/>
      <c r="D234" s="80"/>
      <c r="E234" s="81"/>
      <c r="F234" s="50"/>
      <c r="G234" s="50"/>
      <c r="H234" s="50"/>
      <c r="I234" s="50"/>
      <c r="J234" s="50"/>
      <c r="K234" s="50"/>
      <c r="L234" s="50"/>
      <c r="M234" s="50"/>
      <c r="N234" s="50"/>
      <c r="O234" s="105" t="b">
        <v>0</v>
      </c>
    </row>
    <row r="235">
      <c r="B235" s="7"/>
      <c r="C235" s="7"/>
      <c r="D235" s="80"/>
      <c r="E235" s="81"/>
      <c r="F235" s="50"/>
      <c r="G235" s="50"/>
      <c r="H235" s="50"/>
      <c r="I235" s="50"/>
      <c r="J235" s="50"/>
      <c r="K235" s="50"/>
      <c r="L235" s="50"/>
      <c r="M235" s="50"/>
      <c r="N235" s="50"/>
      <c r="O235" s="105" t="b">
        <v>0</v>
      </c>
    </row>
    <row r="236">
      <c r="B236" s="7"/>
      <c r="C236" s="7"/>
      <c r="D236" s="80"/>
      <c r="E236" s="81"/>
      <c r="F236" s="50"/>
      <c r="G236" s="50"/>
      <c r="H236" s="50"/>
      <c r="I236" s="50"/>
      <c r="J236" s="50"/>
      <c r="K236" s="50"/>
      <c r="L236" s="50"/>
      <c r="M236" s="50"/>
      <c r="N236" s="50"/>
      <c r="O236" s="6" t="b">
        <v>0</v>
      </c>
    </row>
    <row r="237">
      <c r="B237" s="7"/>
      <c r="C237" s="7"/>
      <c r="D237" s="80"/>
      <c r="E237" s="81"/>
      <c r="F237" s="50"/>
      <c r="G237" s="50"/>
      <c r="H237" s="50"/>
      <c r="I237" s="50"/>
      <c r="J237" s="50"/>
      <c r="K237" s="50"/>
      <c r="L237" s="50"/>
      <c r="M237" s="50"/>
      <c r="N237" s="50"/>
      <c r="O237" s="6" t="b">
        <v>0</v>
      </c>
    </row>
    <row r="238">
      <c r="B238" s="7"/>
      <c r="C238" s="7"/>
      <c r="D238" s="80"/>
      <c r="E238" s="81"/>
      <c r="F238" s="50"/>
      <c r="G238" s="50"/>
      <c r="H238" s="50"/>
      <c r="I238" s="50"/>
      <c r="J238" s="50"/>
      <c r="K238" s="50"/>
      <c r="L238" s="50"/>
      <c r="M238" s="50"/>
      <c r="N238" s="50"/>
      <c r="O238" s="6" t="b">
        <v>0</v>
      </c>
    </row>
    <row r="239">
      <c r="B239" s="7"/>
      <c r="C239" s="7"/>
      <c r="D239" s="80"/>
      <c r="E239" s="81"/>
      <c r="F239" s="50"/>
      <c r="G239" s="50"/>
      <c r="H239" s="50"/>
      <c r="I239" s="50"/>
      <c r="J239" s="50"/>
      <c r="K239" s="50"/>
      <c r="L239" s="50"/>
      <c r="M239" s="50"/>
      <c r="N239" s="50"/>
      <c r="O239" s="105" t="b">
        <v>0</v>
      </c>
    </row>
    <row r="240">
      <c r="B240" s="7"/>
      <c r="C240" s="7"/>
      <c r="D240" s="80"/>
      <c r="E240" s="81"/>
      <c r="F240" s="50"/>
      <c r="G240" s="50"/>
      <c r="H240" s="50"/>
      <c r="I240" s="50"/>
      <c r="J240" s="50"/>
      <c r="K240" s="50"/>
      <c r="L240" s="50"/>
      <c r="M240" s="50"/>
      <c r="N240" s="50"/>
      <c r="O240" s="105" t="b">
        <v>0</v>
      </c>
    </row>
    <row r="241">
      <c r="B241" s="108"/>
      <c r="C241" s="108"/>
      <c r="D241" s="19"/>
      <c r="E241" s="81"/>
      <c r="F241" s="25"/>
      <c r="G241" s="25"/>
      <c r="H241" s="25"/>
      <c r="I241" s="25"/>
      <c r="J241" s="25"/>
      <c r="K241" s="25"/>
      <c r="L241" s="41"/>
      <c r="M241" s="25"/>
      <c r="N241" s="25"/>
      <c r="O241" s="105" t="b">
        <v>0</v>
      </c>
    </row>
    <row r="242">
      <c r="B242" s="108"/>
      <c r="C242" s="108"/>
      <c r="D242" s="19"/>
      <c r="E242" s="81"/>
      <c r="F242" s="41"/>
      <c r="G242" s="25"/>
      <c r="H242" s="25"/>
      <c r="I242" s="25"/>
      <c r="J242" s="25"/>
      <c r="K242" s="25"/>
      <c r="L242" s="25"/>
      <c r="M242" s="25"/>
      <c r="N242" s="25"/>
      <c r="O242" s="105" t="b">
        <v>0</v>
      </c>
    </row>
    <row r="243">
      <c r="B243" s="7"/>
      <c r="C243" s="7"/>
      <c r="D243" s="80"/>
      <c r="E243" s="81"/>
      <c r="F243" s="50"/>
      <c r="G243" s="50"/>
      <c r="H243" s="50"/>
      <c r="I243" s="50"/>
      <c r="J243" s="50"/>
      <c r="K243" s="50"/>
      <c r="L243" s="50"/>
      <c r="M243" s="50"/>
      <c r="N243" s="50"/>
      <c r="O243" s="105" t="b">
        <v>0</v>
      </c>
    </row>
    <row r="244">
      <c r="B244" s="7"/>
      <c r="C244" s="7"/>
      <c r="D244" s="80"/>
      <c r="E244" s="81"/>
      <c r="F244" s="50"/>
      <c r="G244" s="50"/>
      <c r="H244" s="50"/>
      <c r="I244" s="50"/>
      <c r="J244" s="50"/>
      <c r="K244" s="50"/>
      <c r="L244" s="50"/>
      <c r="M244" s="50"/>
      <c r="N244" s="50"/>
      <c r="O244" s="105" t="b">
        <v>0</v>
      </c>
    </row>
    <row r="245">
      <c r="B245" s="7"/>
      <c r="C245" s="7"/>
      <c r="D245" s="80"/>
      <c r="E245" s="81"/>
      <c r="F245" s="50"/>
      <c r="G245" s="50"/>
      <c r="H245" s="50"/>
      <c r="I245" s="50"/>
      <c r="J245" s="50"/>
      <c r="K245" s="50"/>
      <c r="L245" s="50"/>
      <c r="M245" s="50"/>
      <c r="N245" s="50"/>
      <c r="O245" s="105" t="b">
        <v>0</v>
      </c>
    </row>
    <row r="246">
      <c r="B246" s="7"/>
      <c r="C246" s="7"/>
      <c r="D246" s="80"/>
      <c r="E246" s="81"/>
      <c r="F246" s="50"/>
      <c r="G246" s="50"/>
      <c r="H246" s="50"/>
      <c r="I246" s="50"/>
      <c r="J246" s="50"/>
      <c r="K246" s="50"/>
      <c r="L246" s="50"/>
      <c r="M246" s="50"/>
      <c r="N246" s="50"/>
      <c r="O246" s="105" t="b">
        <v>0</v>
      </c>
    </row>
    <row r="247">
      <c r="B247" s="7"/>
      <c r="C247" s="7"/>
      <c r="D247" s="80"/>
      <c r="E247" s="81"/>
      <c r="F247" s="50"/>
      <c r="G247" s="50"/>
      <c r="H247" s="50"/>
      <c r="I247" s="50"/>
      <c r="J247" s="50"/>
      <c r="K247" s="50"/>
      <c r="L247" s="50"/>
      <c r="M247" s="50"/>
      <c r="N247" s="50"/>
      <c r="O247" s="105" t="b">
        <v>0</v>
      </c>
    </row>
    <row r="248">
      <c r="B248" s="7"/>
      <c r="C248" s="7"/>
      <c r="D248" s="80"/>
      <c r="E248" s="81"/>
      <c r="F248" s="50"/>
      <c r="G248" s="50"/>
      <c r="H248" s="50"/>
      <c r="I248" s="50"/>
      <c r="J248" s="50"/>
      <c r="K248" s="50"/>
      <c r="L248" s="50"/>
      <c r="M248" s="50"/>
      <c r="N248" s="50"/>
      <c r="O248" s="6" t="b">
        <v>0</v>
      </c>
    </row>
    <row r="249">
      <c r="B249" s="7"/>
      <c r="C249" s="7"/>
      <c r="D249" s="80"/>
      <c r="E249" s="81"/>
      <c r="F249" s="50"/>
      <c r="G249" s="50"/>
      <c r="H249" s="50"/>
      <c r="I249" s="50"/>
      <c r="J249" s="50"/>
      <c r="K249" s="50"/>
      <c r="L249" s="50"/>
      <c r="M249" s="50"/>
      <c r="N249" s="50"/>
      <c r="O249" s="105" t="b">
        <v>0</v>
      </c>
    </row>
    <row r="250">
      <c r="B250" s="7"/>
      <c r="C250" s="7"/>
      <c r="D250" s="80"/>
      <c r="E250" s="81"/>
      <c r="F250" s="50"/>
      <c r="G250" s="50"/>
      <c r="H250" s="50"/>
      <c r="I250" s="50"/>
      <c r="J250" s="50"/>
      <c r="K250" s="50"/>
      <c r="L250" s="50"/>
      <c r="M250" s="50"/>
      <c r="N250" s="50"/>
      <c r="O250" s="105" t="b">
        <v>0</v>
      </c>
    </row>
    <row r="251">
      <c r="B251" s="7"/>
      <c r="C251" s="7"/>
      <c r="D251" s="80"/>
      <c r="E251" s="81"/>
      <c r="F251" s="50"/>
      <c r="G251" s="50"/>
      <c r="H251" s="50"/>
      <c r="I251" s="50"/>
      <c r="J251" s="50"/>
      <c r="K251" s="50"/>
      <c r="L251" s="50"/>
      <c r="M251" s="50"/>
      <c r="N251" s="50"/>
      <c r="O251" s="105" t="b">
        <v>0</v>
      </c>
    </row>
    <row r="252">
      <c r="B252" s="7"/>
      <c r="C252" s="7"/>
      <c r="D252" s="80"/>
      <c r="E252" s="81"/>
      <c r="F252" s="50"/>
      <c r="G252" s="50"/>
      <c r="H252" s="50"/>
      <c r="I252" s="50"/>
      <c r="J252" s="50"/>
      <c r="K252" s="50"/>
      <c r="L252" s="50"/>
      <c r="M252" s="50"/>
      <c r="N252" s="50"/>
      <c r="O252" s="105" t="b">
        <v>0</v>
      </c>
    </row>
    <row r="253">
      <c r="B253" s="7"/>
      <c r="C253" s="7"/>
      <c r="D253" s="80"/>
      <c r="E253" s="81"/>
      <c r="F253" s="50"/>
      <c r="G253" s="50"/>
      <c r="H253" s="50"/>
      <c r="I253" s="50"/>
      <c r="J253" s="50"/>
      <c r="K253" s="50"/>
      <c r="L253" s="50"/>
      <c r="M253" s="50"/>
      <c r="N253" s="50"/>
      <c r="O253" s="6" t="b">
        <v>0</v>
      </c>
    </row>
    <row r="254">
      <c r="B254" s="7"/>
      <c r="C254" s="7"/>
      <c r="D254" s="80"/>
      <c r="E254" s="81"/>
      <c r="F254" s="50"/>
      <c r="G254" s="50"/>
      <c r="H254" s="50"/>
      <c r="I254" s="50"/>
      <c r="J254" s="50"/>
      <c r="K254" s="50"/>
      <c r="L254" s="50"/>
      <c r="M254" s="50"/>
      <c r="N254" s="50"/>
      <c r="O254" s="105" t="b">
        <v>0</v>
      </c>
    </row>
    <row r="255">
      <c r="B255" s="7"/>
      <c r="C255" s="7"/>
      <c r="D255" s="80"/>
      <c r="E255" s="81"/>
      <c r="F255" s="50"/>
      <c r="G255" s="50"/>
      <c r="H255" s="50"/>
      <c r="I255" s="50"/>
      <c r="J255" s="50"/>
      <c r="K255" s="50"/>
      <c r="L255" s="50"/>
      <c r="M255" s="50"/>
      <c r="N255" s="50"/>
      <c r="O255" s="105" t="b">
        <v>0</v>
      </c>
    </row>
    <row r="256">
      <c r="B256" s="7"/>
      <c r="C256" s="7"/>
      <c r="D256" s="80"/>
      <c r="E256" s="81"/>
      <c r="F256" s="50"/>
      <c r="G256" s="50"/>
      <c r="H256" s="50"/>
      <c r="I256" s="50"/>
      <c r="J256" s="50"/>
      <c r="K256" s="50"/>
      <c r="L256" s="50"/>
      <c r="M256" s="50"/>
      <c r="N256" s="50"/>
      <c r="O256" s="105" t="b">
        <v>0</v>
      </c>
    </row>
    <row r="257">
      <c r="B257" s="7"/>
      <c r="C257" s="7"/>
      <c r="D257" s="80"/>
      <c r="E257" s="81"/>
      <c r="F257" s="50"/>
      <c r="G257" s="50"/>
      <c r="H257" s="50"/>
      <c r="I257" s="50"/>
      <c r="J257" s="50"/>
      <c r="K257" s="50"/>
      <c r="L257" s="50"/>
      <c r="M257" s="50"/>
      <c r="N257" s="50"/>
      <c r="O257" s="105" t="b">
        <v>0</v>
      </c>
    </row>
    <row r="258">
      <c r="B258" s="7"/>
      <c r="C258" s="7"/>
      <c r="D258" s="80"/>
      <c r="E258" s="81"/>
      <c r="F258" s="50"/>
      <c r="G258" s="50"/>
      <c r="H258" s="50"/>
      <c r="I258" s="50"/>
      <c r="J258" s="50"/>
      <c r="K258" s="50"/>
      <c r="L258" s="50"/>
      <c r="M258" s="50"/>
      <c r="N258" s="50"/>
      <c r="O258" s="105" t="b">
        <v>0</v>
      </c>
    </row>
    <row r="259">
      <c r="B259" s="7"/>
      <c r="C259" s="7"/>
      <c r="D259" s="80"/>
      <c r="E259" s="81"/>
      <c r="F259" s="50"/>
      <c r="G259" s="50"/>
      <c r="H259" s="50"/>
      <c r="I259" s="50"/>
      <c r="J259" s="50"/>
      <c r="K259" s="50"/>
      <c r="L259" s="50"/>
      <c r="M259" s="50"/>
      <c r="N259" s="50"/>
      <c r="O259" s="105" t="b">
        <v>0</v>
      </c>
    </row>
  </sheetData>
  <mergeCells count="6">
    <mergeCell ref="B2:M2"/>
    <mergeCell ref="B3:B4"/>
    <mergeCell ref="C3:C4"/>
    <mergeCell ref="D3:D4"/>
    <mergeCell ref="E3:E4"/>
    <mergeCell ref="F3:N3"/>
  </mergeCells>
  <conditionalFormatting sqref="B5:B259 D5:N259">
    <cfRule type="expression" dxfId="1" priority="1">
      <formula>$O5=TRUE</formula>
    </cfRule>
  </conditionalFormatting>
  <conditionalFormatting sqref="E5:E259">
    <cfRule type="cellIs" dxfId="6" priority="2" operator="lessThanOrEqual">
      <formula>TODAY()+0</formula>
    </cfRule>
  </conditionalFormatting>
  <conditionalFormatting sqref="E5:E259">
    <cfRule type="cellIs" dxfId="7" priority="3" operator="lessThanOrEqual">
      <formula>TODAY()+3</formula>
    </cfRule>
  </conditionalFormatting>
  <conditionalFormatting sqref="E5:E259">
    <cfRule type="cellIs" dxfId="8" priority="4" operator="lessThanOrEqual">
      <formula>TODAY()+8</formula>
    </cfRule>
  </conditionalFormatting>
  <conditionalFormatting sqref="F5:N259">
    <cfRule type="containsBlanks" dxfId="9" priority="5">
      <formula>LEN(TRIM(F5))=0</formula>
    </cfRule>
  </conditionalFormatting>
  <conditionalFormatting sqref="C5:C259">
    <cfRule type="expression" dxfId="1" priority="6">
      <formula>O5=TRUE</formula>
    </cfRule>
  </conditionalFormatting>
  <conditionalFormatting sqref="Q17">
    <cfRule type="notContainsBlanks" dxfId="10" priority="7">
      <formula>LEN(TRIM(Q17))&gt;0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9.38"/>
    <col customWidth="1" min="3" max="3" width="6.5"/>
    <col customWidth="1" min="4" max="4" width="11.88"/>
    <col customWidth="1" min="5" max="5" width="6.0"/>
    <col customWidth="1" min="6" max="6" width="10.5"/>
    <col customWidth="1" min="7" max="7" width="6.0"/>
    <col customWidth="1" min="8" max="8" width="9.88"/>
    <col customWidth="1" min="9" max="9" width="5.63"/>
    <col customWidth="1" min="10" max="10" width="7.0"/>
    <col customWidth="1" min="11" max="11" width="8.25"/>
    <col customWidth="1" min="12" max="12" width="4.5"/>
    <col customWidth="1" min="13" max="13" width="8.88" outlineLevel="1"/>
    <col customWidth="1" min="14" max="14" width="3.88" outlineLevel="1"/>
    <col customWidth="1" min="15" max="15" width="6.88" outlineLevel="1"/>
    <col customWidth="1" min="16" max="16" width="6.0" outlineLevel="1"/>
    <col customWidth="1" min="17" max="17" width="7.38" outlineLevel="1"/>
    <col customWidth="1" min="18" max="18" width="5.63" outlineLevel="1"/>
    <col customWidth="1" min="19" max="19" width="5.0" outlineLevel="1"/>
  </cols>
  <sheetData>
    <row r="2">
      <c r="B2" s="3" t="s">
        <v>11</v>
      </c>
      <c r="I2" s="8"/>
      <c r="J2" s="8"/>
      <c r="K2" s="8"/>
      <c r="L2" s="13" t="s">
        <v>17</v>
      </c>
      <c r="M2" s="16">
        <v>900.0</v>
      </c>
    </row>
    <row r="3">
      <c r="B3" s="9" t="s">
        <v>28</v>
      </c>
      <c r="C3" s="10"/>
      <c r="D3" s="10"/>
      <c r="E3" s="10"/>
      <c r="F3" s="10"/>
      <c r="G3" s="10"/>
      <c r="H3" s="12"/>
      <c r="I3" s="18"/>
      <c r="J3" s="18"/>
      <c r="K3" s="18"/>
      <c r="M3" s="22" t="s">
        <v>30</v>
      </c>
      <c r="N3" s="24"/>
      <c r="S3" s="26"/>
    </row>
    <row r="4">
      <c r="B4" s="27" t="s">
        <v>30</v>
      </c>
      <c r="C4" s="31" t="s">
        <v>31</v>
      </c>
      <c r="H4" s="26"/>
      <c r="I4" s="34"/>
      <c r="J4" s="36"/>
      <c r="K4" s="36"/>
      <c r="M4" s="40" t="s">
        <v>37</v>
      </c>
      <c r="N4" s="38">
        <v>45658.0</v>
      </c>
      <c r="S4" s="26"/>
    </row>
    <row r="5">
      <c r="B5" s="27" t="s">
        <v>37</v>
      </c>
      <c r="C5" s="38">
        <v>46249.0</v>
      </c>
      <c r="H5" s="26"/>
      <c r="I5" s="42"/>
      <c r="J5" s="42"/>
      <c r="K5" s="42"/>
      <c r="M5" s="40" t="s">
        <v>42</v>
      </c>
      <c r="N5" s="44">
        <v>45833.0</v>
      </c>
      <c r="S5" s="26"/>
    </row>
    <row r="6">
      <c r="B6" s="27" t="s">
        <v>42</v>
      </c>
      <c r="C6" s="44">
        <v>46265.0</v>
      </c>
      <c r="H6" s="26"/>
      <c r="I6" s="42"/>
      <c r="J6" s="42"/>
      <c r="K6" s="42"/>
      <c r="M6" s="48" t="s">
        <v>45</v>
      </c>
      <c r="N6" s="51"/>
      <c r="O6" s="53"/>
      <c r="P6" s="53"/>
      <c r="Q6" s="53"/>
      <c r="R6" s="53"/>
      <c r="S6" s="52"/>
    </row>
    <row r="7">
      <c r="B7" s="27" t="s">
        <v>45</v>
      </c>
      <c r="C7" s="49">
        <v>900.0</v>
      </c>
      <c r="D7" s="53"/>
      <c r="E7" s="53"/>
      <c r="F7" s="53"/>
      <c r="G7" s="53"/>
      <c r="H7" s="52"/>
      <c r="I7" s="36"/>
      <c r="J7" s="36"/>
      <c r="K7" s="36"/>
    </row>
    <row r="8">
      <c r="B8" s="9" t="s">
        <v>50</v>
      </c>
      <c r="C8" s="10"/>
      <c r="D8" s="10"/>
      <c r="E8" s="10"/>
      <c r="F8" s="10"/>
      <c r="G8" s="10"/>
      <c r="H8" s="12"/>
      <c r="I8" s="18"/>
      <c r="J8" s="18"/>
      <c r="K8" s="18"/>
      <c r="M8" s="16">
        <v>600.0</v>
      </c>
    </row>
    <row r="9">
      <c r="B9" s="27" t="s">
        <v>30</v>
      </c>
      <c r="C9" s="43" t="s">
        <v>55</v>
      </c>
      <c r="E9" s="26"/>
      <c r="F9" s="43"/>
      <c r="H9" s="26"/>
      <c r="I9" s="34"/>
      <c r="J9" s="36"/>
      <c r="K9" s="36"/>
      <c r="M9" s="40" t="s">
        <v>30</v>
      </c>
      <c r="N9" s="24"/>
      <c r="Q9" s="26"/>
      <c r="R9" s="47"/>
      <c r="S9" s="26"/>
    </row>
    <row r="10">
      <c r="B10" s="27" t="s">
        <v>37</v>
      </c>
      <c r="C10" s="38">
        <v>46245.0</v>
      </c>
      <c r="E10" s="26"/>
      <c r="F10" s="43" t="s">
        <v>58</v>
      </c>
      <c r="H10" s="26"/>
      <c r="I10" s="42"/>
      <c r="J10" s="42"/>
      <c r="K10" s="42"/>
      <c r="M10" s="40" t="s">
        <v>37</v>
      </c>
      <c r="N10" s="38">
        <v>45658.0</v>
      </c>
      <c r="Q10" s="26"/>
      <c r="R10" s="58">
        <v>45658.0</v>
      </c>
      <c r="S10" s="26"/>
      <c r="Z10" s="6" t="s">
        <v>62</v>
      </c>
    </row>
    <row r="11">
      <c r="B11" s="27" t="s">
        <v>42</v>
      </c>
      <c r="C11" s="44">
        <v>46265.0</v>
      </c>
      <c r="E11" s="26"/>
      <c r="F11" s="44"/>
      <c r="H11" s="26"/>
      <c r="I11" s="42"/>
      <c r="J11" s="42"/>
      <c r="K11" s="42"/>
      <c r="M11" s="40" t="s">
        <v>42</v>
      </c>
      <c r="N11" s="44">
        <v>45658.0</v>
      </c>
      <c r="Q11" s="26"/>
      <c r="R11" s="46">
        <v>45658.0</v>
      </c>
      <c r="S11" s="26"/>
    </row>
    <row r="12">
      <c r="B12" s="27" t="s">
        <v>45</v>
      </c>
      <c r="C12" s="29">
        <v>900.0</v>
      </c>
      <c r="E12" s="26"/>
      <c r="F12" s="43"/>
      <c r="H12" s="26"/>
      <c r="I12" s="36"/>
      <c r="J12" s="36"/>
      <c r="K12" s="36"/>
      <c r="M12" s="48" t="s">
        <v>45</v>
      </c>
      <c r="N12" s="51"/>
      <c r="O12" s="53"/>
      <c r="P12" s="53"/>
      <c r="Q12" s="52"/>
      <c r="R12" s="60"/>
      <c r="S12" s="52"/>
    </row>
    <row r="13">
      <c r="B13" s="9" t="s">
        <v>70</v>
      </c>
      <c r="C13" s="10"/>
      <c r="D13" s="10"/>
      <c r="E13" s="10"/>
      <c r="F13" s="10"/>
      <c r="G13" s="10"/>
      <c r="H13" s="12"/>
      <c r="I13" s="18"/>
      <c r="J13" s="18"/>
      <c r="K13" s="18"/>
    </row>
    <row r="14">
      <c r="B14" s="27" t="s">
        <v>30</v>
      </c>
      <c r="C14" s="33" t="s">
        <v>33</v>
      </c>
      <c r="D14" s="26"/>
      <c r="E14" s="33" t="s">
        <v>74</v>
      </c>
      <c r="F14" s="26"/>
      <c r="G14" s="57" t="s">
        <v>75</v>
      </c>
      <c r="H14" s="26"/>
      <c r="I14" s="34"/>
      <c r="J14" s="36"/>
      <c r="K14" s="36"/>
      <c r="M14" s="16">
        <v>450.0</v>
      </c>
    </row>
    <row r="15">
      <c r="B15" s="27" t="s">
        <v>37</v>
      </c>
      <c r="C15" s="38">
        <v>46204.0</v>
      </c>
      <c r="D15" s="26"/>
      <c r="E15" s="58">
        <v>46139.0</v>
      </c>
      <c r="F15" s="26"/>
      <c r="G15" s="58">
        <v>46185.0</v>
      </c>
      <c r="H15" s="26"/>
      <c r="I15" s="42"/>
      <c r="J15" s="42"/>
      <c r="K15" s="42"/>
      <c r="M15" s="40" t="s">
        <v>30</v>
      </c>
      <c r="N15" s="24"/>
      <c r="P15" s="26"/>
      <c r="Q15" s="47"/>
      <c r="S15" s="26"/>
    </row>
    <row r="16">
      <c r="B16" s="27" t="s">
        <v>42</v>
      </c>
      <c r="C16" s="44">
        <v>46265.0</v>
      </c>
      <c r="D16" s="26"/>
      <c r="E16" s="44">
        <v>46413.0</v>
      </c>
      <c r="F16" s="26"/>
      <c r="G16" s="46">
        <v>46246.0</v>
      </c>
      <c r="H16" s="26"/>
      <c r="I16" s="42"/>
      <c r="J16" s="42"/>
      <c r="K16" s="42"/>
      <c r="M16" s="40" t="s">
        <v>37</v>
      </c>
      <c r="N16" s="38">
        <v>45658.0</v>
      </c>
      <c r="P16" s="26"/>
      <c r="Q16" s="58">
        <v>45658.0</v>
      </c>
      <c r="S16" s="26"/>
    </row>
    <row r="17">
      <c r="B17" s="27" t="s">
        <v>45</v>
      </c>
      <c r="C17" s="49">
        <v>300.0</v>
      </c>
      <c r="D17" s="52"/>
      <c r="E17" s="43">
        <v>300.0</v>
      </c>
      <c r="F17" s="26"/>
      <c r="G17" s="43">
        <v>300.0</v>
      </c>
      <c r="H17" s="26"/>
      <c r="I17" s="36"/>
      <c r="J17" s="36"/>
      <c r="K17" s="36"/>
      <c r="M17" s="40" t="s">
        <v>42</v>
      </c>
      <c r="N17" s="44">
        <v>45658.0</v>
      </c>
      <c r="P17" s="26"/>
      <c r="Q17" s="46">
        <v>45658.0</v>
      </c>
      <c r="S17" s="26"/>
    </row>
    <row r="18">
      <c r="B18" s="9" t="s">
        <v>87</v>
      </c>
      <c r="C18" s="10"/>
      <c r="D18" s="10"/>
      <c r="E18" s="10"/>
      <c r="F18" s="10"/>
      <c r="G18" s="10"/>
      <c r="H18" s="12"/>
      <c r="I18" s="18"/>
      <c r="J18" s="18"/>
      <c r="K18" s="18"/>
      <c r="M18" s="48" t="s">
        <v>45</v>
      </c>
      <c r="N18" s="51"/>
      <c r="O18" s="53"/>
      <c r="P18" s="52"/>
      <c r="Q18" s="60"/>
      <c r="R18" s="53"/>
      <c r="S18" s="52"/>
    </row>
    <row r="19">
      <c r="B19" s="27" t="s">
        <v>30</v>
      </c>
      <c r="C19" s="33"/>
      <c r="D19" s="26"/>
      <c r="E19" s="29" t="s">
        <v>83</v>
      </c>
      <c r="F19" s="26"/>
      <c r="G19" s="29" t="s">
        <v>91</v>
      </c>
      <c r="H19" s="26"/>
      <c r="I19" s="34"/>
      <c r="J19" s="36"/>
      <c r="K19" s="36"/>
    </row>
    <row r="20">
      <c r="B20" s="27" t="s">
        <v>37</v>
      </c>
      <c r="C20" s="38"/>
      <c r="D20" s="26"/>
      <c r="E20" s="38">
        <v>46029.0</v>
      </c>
      <c r="F20" s="26"/>
      <c r="G20" s="38">
        <v>46130.0</v>
      </c>
      <c r="H20" s="26"/>
      <c r="I20" s="65">
        <v>45658.0</v>
      </c>
      <c r="J20" s="42"/>
      <c r="K20" s="42"/>
      <c r="M20" s="16">
        <v>300.0</v>
      </c>
    </row>
    <row r="21">
      <c r="B21" s="27" t="s">
        <v>42</v>
      </c>
      <c r="C21" s="44"/>
      <c r="D21" s="26"/>
      <c r="E21" s="44">
        <v>46362.0</v>
      </c>
      <c r="F21" s="26"/>
      <c r="G21" s="44">
        <v>46282.0</v>
      </c>
      <c r="H21" s="26"/>
      <c r="I21" s="42"/>
      <c r="J21" s="42"/>
      <c r="K21" s="42"/>
      <c r="M21" s="40" t="s">
        <v>30</v>
      </c>
      <c r="N21" s="24"/>
      <c r="O21" s="26"/>
      <c r="P21" s="47"/>
      <c r="Q21" s="26"/>
      <c r="R21" s="47"/>
      <c r="S21" s="26"/>
    </row>
    <row r="22">
      <c r="B22" s="27" t="s">
        <v>45</v>
      </c>
      <c r="C22" s="29"/>
      <c r="D22" s="26"/>
      <c r="E22" s="29">
        <v>300.0</v>
      </c>
      <c r="F22" s="26"/>
      <c r="G22" s="29">
        <v>300.0</v>
      </c>
      <c r="H22" s="26"/>
      <c r="I22" s="68">
        <v>0.0</v>
      </c>
      <c r="J22" s="36"/>
      <c r="K22" s="36"/>
      <c r="M22" s="40" t="s">
        <v>37</v>
      </c>
      <c r="N22" s="38">
        <v>45658.0</v>
      </c>
      <c r="O22" s="26"/>
      <c r="P22" s="58">
        <v>45658.0</v>
      </c>
      <c r="Q22" s="26"/>
      <c r="R22" s="58">
        <v>45658.0</v>
      </c>
      <c r="S22" s="26"/>
    </row>
    <row r="23">
      <c r="B23" s="9" t="s">
        <v>100</v>
      </c>
      <c r="C23" s="10"/>
      <c r="D23" s="10"/>
      <c r="E23" s="10"/>
      <c r="F23" s="10"/>
      <c r="G23" s="10"/>
      <c r="H23" s="12"/>
      <c r="I23" s="18"/>
      <c r="J23" s="18"/>
      <c r="K23" s="18"/>
      <c r="M23" s="40" t="s">
        <v>42</v>
      </c>
      <c r="N23" s="44">
        <v>45658.0</v>
      </c>
      <c r="O23" s="26"/>
      <c r="P23" s="46">
        <v>45658.0</v>
      </c>
      <c r="Q23" s="26"/>
      <c r="R23" s="46">
        <v>45658.0</v>
      </c>
      <c r="S23" s="26"/>
    </row>
    <row r="24">
      <c r="B24" s="27" t="s">
        <v>30</v>
      </c>
      <c r="C24" s="33" t="s">
        <v>98</v>
      </c>
      <c r="D24" s="26"/>
      <c r="E24" s="57"/>
      <c r="F24" s="26"/>
      <c r="G24" s="57"/>
      <c r="H24" s="26"/>
      <c r="I24" s="34"/>
      <c r="J24" s="36"/>
      <c r="K24" s="36"/>
      <c r="M24" s="48" t="s">
        <v>45</v>
      </c>
      <c r="N24" s="51"/>
      <c r="O24" s="52"/>
      <c r="P24" s="60"/>
      <c r="Q24" s="52"/>
      <c r="R24" s="60"/>
      <c r="S24" s="52"/>
    </row>
    <row r="25">
      <c r="B25" s="27" t="s">
        <v>37</v>
      </c>
      <c r="C25" s="38">
        <v>46023.0</v>
      </c>
      <c r="D25" s="26"/>
      <c r="E25" s="58"/>
      <c r="F25" s="26"/>
      <c r="G25" s="58"/>
      <c r="H25" s="26"/>
      <c r="I25" s="36"/>
      <c r="J25" s="36"/>
      <c r="K25" s="36"/>
    </row>
    <row r="26">
      <c r="B26" s="27" t="s">
        <v>42</v>
      </c>
      <c r="C26" s="44">
        <v>46356.0</v>
      </c>
      <c r="D26" s="26"/>
      <c r="E26" s="44"/>
      <c r="F26" s="26"/>
      <c r="G26" s="46"/>
      <c r="H26" s="26"/>
      <c r="I26" s="36"/>
      <c r="J26" s="36"/>
      <c r="K26" s="36"/>
      <c r="L26" s="71"/>
    </row>
    <row r="27">
      <c r="B27" s="27" t="s">
        <v>45</v>
      </c>
      <c r="C27" s="29">
        <v>300.0</v>
      </c>
      <c r="D27" s="26"/>
      <c r="E27" s="43"/>
      <c r="F27" s="26"/>
      <c r="G27" s="43"/>
      <c r="H27" s="26"/>
      <c r="I27" s="36"/>
      <c r="J27" s="36"/>
      <c r="K27" s="36"/>
      <c r="L27" s="71"/>
    </row>
    <row r="28">
      <c r="B28" s="9" t="s">
        <v>114</v>
      </c>
      <c r="C28" s="10"/>
      <c r="D28" s="10"/>
      <c r="E28" s="10"/>
      <c r="F28" s="10"/>
      <c r="G28" s="10"/>
      <c r="H28" s="12"/>
      <c r="I28" s="18"/>
      <c r="J28" s="18"/>
      <c r="K28" s="18"/>
      <c r="L28" s="71"/>
    </row>
    <row r="29">
      <c r="B29" s="27" t="s">
        <v>30</v>
      </c>
      <c r="C29" s="29" t="s">
        <v>120</v>
      </c>
      <c r="E29" s="26"/>
      <c r="F29" s="57" t="s">
        <v>32</v>
      </c>
      <c r="H29" s="26"/>
      <c r="I29" s="34"/>
      <c r="J29" s="36"/>
      <c r="K29" s="36"/>
      <c r="L29" s="71"/>
    </row>
    <row r="30">
      <c r="B30" s="27" t="s">
        <v>37</v>
      </c>
      <c r="C30" s="38">
        <v>46161.0</v>
      </c>
      <c r="E30" s="26"/>
      <c r="F30" s="38">
        <v>46157.0</v>
      </c>
      <c r="H30" s="26"/>
      <c r="I30" s="36"/>
      <c r="J30" s="36"/>
      <c r="K30" s="36"/>
      <c r="L30" s="71"/>
    </row>
    <row r="31">
      <c r="B31" s="27" t="s">
        <v>42</v>
      </c>
      <c r="C31" s="44">
        <v>46252.0</v>
      </c>
      <c r="E31" s="26"/>
      <c r="F31" s="44">
        <v>46265.0</v>
      </c>
      <c r="H31" s="26"/>
      <c r="I31" s="36"/>
      <c r="J31" s="36"/>
      <c r="K31" s="36"/>
      <c r="L31" s="71"/>
    </row>
    <row r="32">
      <c r="B32" s="27" t="s">
        <v>45</v>
      </c>
      <c r="C32" s="29">
        <v>450.0</v>
      </c>
      <c r="E32" s="26"/>
      <c r="F32" s="29">
        <v>450.0</v>
      </c>
      <c r="H32" s="26"/>
      <c r="I32" s="36"/>
      <c r="J32" s="36"/>
      <c r="K32" s="36"/>
      <c r="L32" s="71"/>
    </row>
    <row r="33">
      <c r="B33" s="9" t="s">
        <v>125</v>
      </c>
      <c r="C33" s="10"/>
      <c r="D33" s="10"/>
      <c r="E33" s="10"/>
      <c r="F33" s="10"/>
      <c r="G33" s="10"/>
      <c r="H33" s="12"/>
      <c r="I33" s="18"/>
      <c r="J33" s="18"/>
      <c r="K33" s="18"/>
      <c r="L33" s="71"/>
    </row>
    <row r="34">
      <c r="B34" s="27" t="s">
        <v>30</v>
      </c>
      <c r="C34" s="29" t="s">
        <v>130</v>
      </c>
      <c r="E34" s="26"/>
      <c r="F34" s="43" t="s">
        <v>131</v>
      </c>
      <c r="H34" s="26"/>
      <c r="I34" s="34"/>
      <c r="J34" s="36"/>
      <c r="K34" s="36"/>
      <c r="L34" s="71"/>
    </row>
    <row r="35">
      <c r="B35" s="27" t="s">
        <v>37</v>
      </c>
      <c r="C35" s="38">
        <v>46227.0</v>
      </c>
      <c r="E35" s="26"/>
      <c r="F35" s="38">
        <v>46204.0</v>
      </c>
      <c r="H35" s="26"/>
      <c r="I35" s="36"/>
      <c r="J35" s="36"/>
      <c r="K35" s="36"/>
      <c r="L35" s="71"/>
    </row>
    <row r="36">
      <c r="B36" s="27" t="s">
        <v>42</v>
      </c>
      <c r="C36" s="44">
        <v>46257.0</v>
      </c>
      <c r="E36" s="26"/>
      <c r="F36" s="44">
        <v>46295.0</v>
      </c>
      <c r="H36" s="26"/>
      <c r="I36" s="36"/>
      <c r="J36" s="36"/>
      <c r="K36" s="36"/>
      <c r="L36" s="71"/>
    </row>
    <row r="37">
      <c r="B37" s="27" t="s">
        <v>45</v>
      </c>
      <c r="C37" s="49">
        <v>450.0</v>
      </c>
      <c r="D37" s="53"/>
      <c r="E37" s="52"/>
      <c r="F37" s="49">
        <v>450.0</v>
      </c>
      <c r="G37" s="53"/>
      <c r="H37" s="52"/>
      <c r="I37" s="36"/>
      <c r="J37" s="36"/>
      <c r="K37" s="36"/>
      <c r="L37" s="71"/>
    </row>
    <row r="38">
      <c r="B38" s="9" t="s">
        <v>141</v>
      </c>
      <c r="C38" s="10"/>
      <c r="D38" s="10"/>
      <c r="E38" s="10"/>
      <c r="F38" s="10"/>
      <c r="G38" s="10"/>
      <c r="H38" s="12"/>
      <c r="I38" s="18"/>
      <c r="J38" s="18"/>
      <c r="K38" s="18"/>
      <c r="L38" s="71"/>
    </row>
    <row r="39">
      <c r="B39" s="27" t="s">
        <v>30</v>
      </c>
      <c r="C39" s="33" t="s">
        <v>138</v>
      </c>
      <c r="E39" s="26"/>
      <c r="F39" s="75" t="s">
        <v>145</v>
      </c>
      <c r="H39" s="26"/>
      <c r="I39" s="34"/>
      <c r="J39" s="36"/>
      <c r="K39" s="36"/>
      <c r="L39" s="71"/>
    </row>
    <row r="40">
      <c r="B40" s="27" t="s">
        <v>37</v>
      </c>
      <c r="C40" s="78">
        <v>46230.0</v>
      </c>
      <c r="E40" s="26"/>
      <c r="F40" s="78">
        <v>46232.0</v>
      </c>
      <c r="H40" s="26"/>
      <c r="I40" s="36"/>
      <c r="J40" s="36"/>
      <c r="K40" s="36"/>
      <c r="L40" s="71"/>
    </row>
    <row r="41">
      <c r="B41" s="27" t="s">
        <v>42</v>
      </c>
      <c r="C41" s="79">
        <v>46260.0</v>
      </c>
      <c r="E41" s="26"/>
      <c r="F41" s="79">
        <v>46252.0</v>
      </c>
      <c r="H41" s="26"/>
      <c r="I41" s="36"/>
      <c r="J41" s="36"/>
      <c r="K41" s="36"/>
      <c r="L41" s="71"/>
    </row>
    <row r="42">
      <c r="B42" s="27" t="s">
        <v>45</v>
      </c>
      <c r="C42" s="49">
        <v>450.0</v>
      </c>
      <c r="D42" s="53"/>
      <c r="E42" s="52"/>
      <c r="F42" s="82">
        <v>450.0</v>
      </c>
      <c r="G42" s="53"/>
      <c r="H42" s="52"/>
      <c r="I42" s="36"/>
      <c r="J42" s="36"/>
      <c r="K42" s="36"/>
      <c r="L42" s="71"/>
    </row>
    <row r="43">
      <c r="B43" s="9" t="s">
        <v>154</v>
      </c>
      <c r="C43" s="10"/>
      <c r="D43" s="10"/>
      <c r="E43" s="10"/>
      <c r="F43" s="10"/>
      <c r="G43" s="10"/>
      <c r="H43" s="12"/>
      <c r="I43" s="18"/>
      <c r="J43" s="18"/>
      <c r="K43" s="18"/>
      <c r="L43" s="71"/>
    </row>
    <row r="44">
      <c r="B44" s="27" t="s">
        <v>30</v>
      </c>
      <c r="C44" s="29" t="s">
        <v>142</v>
      </c>
      <c r="E44" s="26"/>
      <c r="F44" s="47"/>
      <c r="H44" s="26"/>
      <c r="I44" s="34"/>
      <c r="J44" s="36"/>
      <c r="K44" s="36"/>
      <c r="L44" s="71"/>
    </row>
    <row r="45">
      <c r="B45" s="27" t="s">
        <v>37</v>
      </c>
      <c r="C45" s="38">
        <v>46184.0</v>
      </c>
      <c r="E45" s="26"/>
      <c r="F45" s="58">
        <v>45658.0</v>
      </c>
      <c r="H45" s="26"/>
      <c r="I45" s="36"/>
      <c r="J45" s="36"/>
      <c r="K45" s="36"/>
      <c r="L45" s="71"/>
    </row>
    <row r="46">
      <c r="B46" s="27" t="s">
        <v>42</v>
      </c>
      <c r="C46" s="44">
        <v>46253.0</v>
      </c>
      <c r="E46" s="26"/>
      <c r="F46" s="46">
        <v>45658.0</v>
      </c>
      <c r="H46" s="26"/>
      <c r="I46" s="36"/>
      <c r="J46" s="36"/>
      <c r="K46" s="36"/>
      <c r="L46" s="71"/>
    </row>
    <row r="47">
      <c r="B47" s="27" t="s">
        <v>45</v>
      </c>
      <c r="C47" s="49">
        <v>450.0</v>
      </c>
      <c r="D47" s="53"/>
      <c r="E47" s="52"/>
      <c r="F47" s="60"/>
      <c r="G47" s="53"/>
      <c r="H47" s="52"/>
      <c r="I47" s="36"/>
      <c r="J47" s="36"/>
      <c r="K47" s="36"/>
      <c r="L47" s="71"/>
    </row>
    <row r="48">
      <c r="B48" s="9" t="s">
        <v>168</v>
      </c>
      <c r="C48" s="10"/>
      <c r="D48" s="10"/>
      <c r="E48" s="10"/>
      <c r="F48" s="10"/>
      <c r="G48" s="10"/>
      <c r="H48" s="12"/>
      <c r="I48" s="18"/>
      <c r="J48" s="18"/>
      <c r="K48" s="18"/>
      <c r="L48" s="71"/>
    </row>
    <row r="49">
      <c r="B49" s="40" t="s">
        <v>30</v>
      </c>
      <c r="C49" s="33" t="s">
        <v>150</v>
      </c>
      <c r="E49" s="26"/>
      <c r="F49" s="57"/>
      <c r="H49" s="26"/>
      <c r="I49" s="34"/>
      <c r="J49" s="36"/>
      <c r="K49" s="36"/>
      <c r="L49" s="71"/>
      <c r="M49" s="84"/>
      <c r="N49" s="84"/>
      <c r="O49" s="84"/>
    </row>
    <row r="50">
      <c r="B50" s="40" t="s">
        <v>37</v>
      </c>
      <c r="C50" s="38">
        <v>46237.0</v>
      </c>
      <c r="E50" s="26"/>
      <c r="F50" s="38"/>
      <c r="H50" s="26"/>
      <c r="I50" s="36"/>
      <c r="J50" s="36"/>
      <c r="K50" s="36"/>
      <c r="L50" s="71"/>
      <c r="M50" s="84"/>
      <c r="N50" s="84"/>
      <c r="O50" s="84"/>
    </row>
    <row r="51">
      <c r="B51" s="40" t="s">
        <v>42</v>
      </c>
      <c r="C51" s="44">
        <v>46243.0</v>
      </c>
      <c r="E51" s="26"/>
      <c r="F51" s="44"/>
      <c r="H51" s="26"/>
      <c r="I51" s="36"/>
      <c r="J51" s="36"/>
      <c r="K51" s="36"/>
      <c r="L51" s="71"/>
      <c r="M51" s="84"/>
      <c r="N51" s="84"/>
      <c r="O51" s="84"/>
    </row>
    <row r="52">
      <c r="B52" s="48" t="s">
        <v>45</v>
      </c>
      <c r="C52" s="49">
        <v>450.0</v>
      </c>
      <c r="D52" s="53"/>
      <c r="E52" s="52"/>
      <c r="F52" s="49"/>
      <c r="G52" s="53"/>
      <c r="H52" s="52"/>
      <c r="I52" s="36"/>
      <c r="J52" s="36"/>
      <c r="K52" s="36"/>
      <c r="L52" s="71"/>
      <c r="M52" s="84"/>
      <c r="N52" s="84"/>
      <c r="O52" s="84"/>
    </row>
    <row r="53">
      <c r="B53" s="9" t="s">
        <v>179</v>
      </c>
      <c r="C53" s="10"/>
      <c r="D53" s="10"/>
      <c r="E53" s="10"/>
      <c r="F53" s="10"/>
      <c r="G53" s="10"/>
      <c r="H53" s="12"/>
      <c r="I53" s="36"/>
      <c r="J53" s="36"/>
      <c r="K53" s="36"/>
      <c r="L53" s="71"/>
    </row>
    <row r="54">
      <c r="B54" s="40" t="s">
        <v>30</v>
      </c>
      <c r="C54" s="33"/>
      <c r="E54" s="26"/>
      <c r="F54" s="57"/>
      <c r="H54" s="26"/>
      <c r="I54" s="34"/>
      <c r="J54" s="36"/>
    </row>
    <row r="55">
      <c r="B55" s="40" t="s">
        <v>37</v>
      </c>
      <c r="C55" s="38"/>
      <c r="E55" s="26"/>
      <c r="F55" s="38"/>
      <c r="H55" s="26"/>
      <c r="I55" s="36"/>
      <c r="J55" s="36"/>
      <c r="K55" s="36"/>
    </row>
    <row r="56">
      <c r="B56" s="40" t="s">
        <v>42</v>
      </c>
      <c r="C56" s="44"/>
      <c r="E56" s="26"/>
      <c r="F56" s="44"/>
      <c r="H56" s="26"/>
    </row>
    <row r="57">
      <c r="B57" s="48" t="s">
        <v>45</v>
      </c>
      <c r="C57" s="49"/>
      <c r="D57" s="53"/>
      <c r="E57" s="52"/>
      <c r="F57" s="49"/>
      <c r="G57" s="53"/>
      <c r="H57" s="52"/>
    </row>
    <row r="58">
      <c r="B58" s="16" t="s">
        <v>189</v>
      </c>
    </row>
    <row r="59">
      <c r="B59" s="88" t="s">
        <v>30</v>
      </c>
      <c r="C59" s="29"/>
      <c r="D59" s="26"/>
      <c r="E59" s="43"/>
      <c r="F59" s="26"/>
      <c r="G59" s="43"/>
      <c r="H59" s="26"/>
      <c r="I59" s="89"/>
    </row>
    <row r="60">
      <c r="B60" s="88" t="s">
        <v>37</v>
      </c>
      <c r="C60" s="46"/>
      <c r="D60" s="26"/>
      <c r="E60" s="58"/>
      <c r="F60" s="26"/>
      <c r="G60" s="58"/>
      <c r="H60" s="26"/>
    </row>
    <row r="61">
      <c r="B61" s="88" t="s">
        <v>42</v>
      </c>
      <c r="C61" s="46"/>
      <c r="D61" s="26"/>
      <c r="E61" s="46"/>
      <c r="F61" s="26"/>
      <c r="G61" s="46"/>
      <c r="H61" s="26"/>
    </row>
    <row r="62">
      <c r="B62" s="88" t="s">
        <v>45</v>
      </c>
      <c r="C62" s="49"/>
      <c r="D62" s="52"/>
      <c r="E62" s="60"/>
      <c r="F62" s="52"/>
      <c r="G62" s="60"/>
      <c r="H62" s="52"/>
    </row>
    <row r="63">
      <c r="B63" s="16" t="s">
        <v>197</v>
      </c>
    </row>
    <row r="64">
      <c r="B64" s="88" t="s">
        <v>30</v>
      </c>
      <c r="C64" s="29"/>
      <c r="E64" s="26"/>
      <c r="F64" s="43"/>
      <c r="H64" s="26"/>
      <c r="I64" s="89"/>
    </row>
    <row r="65">
      <c r="B65" s="88" t="s">
        <v>37</v>
      </c>
      <c r="C65" s="38"/>
      <c r="E65" s="26"/>
      <c r="F65" s="58"/>
      <c r="H65" s="26"/>
    </row>
    <row r="66">
      <c r="B66" s="88" t="s">
        <v>42</v>
      </c>
      <c r="C66" s="44"/>
      <c r="E66" s="26"/>
      <c r="F66" s="46"/>
      <c r="H66" s="26"/>
    </row>
    <row r="67">
      <c r="B67" s="88" t="s">
        <v>45</v>
      </c>
      <c r="C67" s="49"/>
      <c r="D67" s="53"/>
      <c r="E67" s="52"/>
      <c r="F67" s="86"/>
      <c r="G67" s="53"/>
      <c r="H67" s="52"/>
    </row>
    <row r="68">
      <c r="B68" s="16" t="s">
        <v>205</v>
      </c>
    </row>
    <row r="69">
      <c r="B69" s="88" t="s">
        <v>30</v>
      </c>
      <c r="C69" s="29" t="s">
        <v>159</v>
      </c>
      <c r="E69" s="26"/>
      <c r="F69" s="43"/>
      <c r="H69" s="26"/>
      <c r="I69" s="89"/>
    </row>
    <row r="70">
      <c r="B70" s="88" t="s">
        <v>37</v>
      </c>
      <c r="C70" s="38">
        <v>46205.0</v>
      </c>
      <c r="E70" s="26"/>
      <c r="F70" s="58"/>
      <c r="H70" s="26"/>
    </row>
    <row r="71">
      <c r="B71" s="88" t="s">
        <v>42</v>
      </c>
      <c r="C71" s="44">
        <v>46265.0</v>
      </c>
      <c r="E71" s="26"/>
      <c r="F71" s="46"/>
      <c r="H71" s="26"/>
    </row>
    <row r="72">
      <c r="B72" s="88" t="s">
        <v>45</v>
      </c>
      <c r="C72" s="49">
        <v>300.0</v>
      </c>
      <c r="D72" s="53"/>
      <c r="E72" s="52"/>
      <c r="F72" s="86"/>
      <c r="G72" s="53"/>
      <c r="H72" s="52"/>
    </row>
    <row r="76">
      <c r="K76" s="3" t="s">
        <v>186</v>
      </c>
      <c r="P76" s="3" t="str">
        <f>SUM(C7,#REF!,#REF!,G12,C17,C61,C22,F22,C27,E27,G27,C32,F32,C37,F37,C42,G42,C47,D12,C52)</f>
        <v>#REF!</v>
      </c>
    </row>
  </sheetData>
  <mergeCells count="178">
    <mergeCell ref="N4:S4"/>
    <mergeCell ref="N5:S5"/>
    <mergeCell ref="C6:H6"/>
    <mergeCell ref="N6:S6"/>
    <mergeCell ref="C7:H7"/>
    <mergeCell ref="B8:H8"/>
    <mergeCell ref="N9:Q9"/>
    <mergeCell ref="R9:S9"/>
    <mergeCell ref="C10:E10"/>
    <mergeCell ref="F10:H10"/>
    <mergeCell ref="N10:Q10"/>
    <mergeCell ref="R10:S10"/>
    <mergeCell ref="C11:E11"/>
    <mergeCell ref="F11:H11"/>
    <mergeCell ref="C5:H5"/>
    <mergeCell ref="C9:E9"/>
    <mergeCell ref="F9:H9"/>
    <mergeCell ref="N11:Q11"/>
    <mergeCell ref="R11:S11"/>
    <mergeCell ref="C12:E12"/>
    <mergeCell ref="F12:H12"/>
    <mergeCell ref="N12:Q12"/>
    <mergeCell ref="R12:S12"/>
    <mergeCell ref="B13:H13"/>
    <mergeCell ref="C14:D14"/>
    <mergeCell ref="E14:F14"/>
    <mergeCell ref="G14:H14"/>
    <mergeCell ref="C16:D16"/>
    <mergeCell ref="E16:F16"/>
    <mergeCell ref="G16:H16"/>
    <mergeCell ref="N16:P16"/>
    <mergeCell ref="M14:S14"/>
    <mergeCell ref="C15:D15"/>
    <mergeCell ref="E15:F15"/>
    <mergeCell ref="G15:H15"/>
    <mergeCell ref="N15:P15"/>
    <mergeCell ref="Q15:S15"/>
    <mergeCell ref="Q16:S16"/>
    <mergeCell ref="C17:D17"/>
    <mergeCell ref="E17:F17"/>
    <mergeCell ref="G17:H17"/>
    <mergeCell ref="N17:P17"/>
    <mergeCell ref="Q17:S17"/>
    <mergeCell ref="B18:H18"/>
    <mergeCell ref="N18:P18"/>
    <mergeCell ref="C20:D20"/>
    <mergeCell ref="E20:F20"/>
    <mergeCell ref="G20:H20"/>
    <mergeCell ref="M20:S20"/>
    <mergeCell ref="C21:D21"/>
    <mergeCell ref="E21:F21"/>
    <mergeCell ref="G21:H21"/>
    <mergeCell ref="N21:O21"/>
    <mergeCell ref="P21:Q21"/>
    <mergeCell ref="R21:S21"/>
    <mergeCell ref="C22:D22"/>
    <mergeCell ref="E22:F22"/>
    <mergeCell ref="G22:H22"/>
    <mergeCell ref="N22:O22"/>
    <mergeCell ref="P22:Q22"/>
    <mergeCell ref="R22:S22"/>
    <mergeCell ref="B23:H23"/>
    <mergeCell ref="N23:O23"/>
    <mergeCell ref="P23:Q23"/>
    <mergeCell ref="R23:S23"/>
    <mergeCell ref="C24:D24"/>
    <mergeCell ref="E24:F24"/>
    <mergeCell ref="Q18:S18"/>
    <mergeCell ref="C19:D19"/>
    <mergeCell ref="E19:F19"/>
    <mergeCell ref="G19:H19"/>
    <mergeCell ref="G24:H24"/>
    <mergeCell ref="N24:O24"/>
    <mergeCell ref="P24:Q24"/>
    <mergeCell ref="R24:S24"/>
    <mergeCell ref="B2:H2"/>
    <mergeCell ref="L2:L25"/>
    <mergeCell ref="M2:S2"/>
    <mergeCell ref="B3:H3"/>
    <mergeCell ref="N3:S3"/>
    <mergeCell ref="C4:H4"/>
    <mergeCell ref="M8:S8"/>
    <mergeCell ref="G25:H25"/>
    <mergeCell ref="C25:D25"/>
    <mergeCell ref="E25:F25"/>
    <mergeCell ref="C26:D26"/>
    <mergeCell ref="E26:F26"/>
    <mergeCell ref="G26:H26"/>
    <mergeCell ref="C27:D27"/>
    <mergeCell ref="E27:F27"/>
    <mergeCell ref="G27:H27"/>
    <mergeCell ref="B28:H28"/>
    <mergeCell ref="C29:E29"/>
    <mergeCell ref="F29:H29"/>
    <mergeCell ref="C30:E30"/>
    <mergeCell ref="F30:H30"/>
    <mergeCell ref="F31:H31"/>
    <mergeCell ref="C39:E39"/>
    <mergeCell ref="C40:E40"/>
    <mergeCell ref="F40:H40"/>
    <mergeCell ref="E62:F62"/>
    <mergeCell ref="G62:H62"/>
    <mergeCell ref="C60:D60"/>
    <mergeCell ref="E60:F60"/>
    <mergeCell ref="G60:H60"/>
    <mergeCell ref="C61:D61"/>
    <mergeCell ref="E61:F61"/>
    <mergeCell ref="G61:H61"/>
    <mergeCell ref="C62:D62"/>
    <mergeCell ref="B63:H63"/>
    <mergeCell ref="C64:E64"/>
    <mergeCell ref="F64:H64"/>
    <mergeCell ref="C65:E65"/>
    <mergeCell ref="F65:H65"/>
    <mergeCell ref="C66:E66"/>
    <mergeCell ref="F66:H66"/>
    <mergeCell ref="C71:E71"/>
    <mergeCell ref="F71:H71"/>
    <mergeCell ref="C72:E72"/>
    <mergeCell ref="F72:H72"/>
    <mergeCell ref="K76:O76"/>
    <mergeCell ref="P76:Q76"/>
    <mergeCell ref="C67:E67"/>
    <mergeCell ref="F67:H67"/>
    <mergeCell ref="B68:H68"/>
    <mergeCell ref="C69:E69"/>
    <mergeCell ref="F69:H69"/>
    <mergeCell ref="C70:E70"/>
    <mergeCell ref="F70:H70"/>
    <mergeCell ref="C31:E31"/>
    <mergeCell ref="C32:E32"/>
    <mergeCell ref="F32:H32"/>
    <mergeCell ref="B33:H33"/>
    <mergeCell ref="C34:E34"/>
    <mergeCell ref="F34:H34"/>
    <mergeCell ref="F35:H35"/>
    <mergeCell ref="C35:E35"/>
    <mergeCell ref="C36:E36"/>
    <mergeCell ref="F36:H36"/>
    <mergeCell ref="C37:E37"/>
    <mergeCell ref="F37:H37"/>
    <mergeCell ref="B38:H38"/>
    <mergeCell ref="F39:H39"/>
    <mergeCell ref="C41:E41"/>
    <mergeCell ref="F41:H41"/>
    <mergeCell ref="C42:E42"/>
    <mergeCell ref="F42:H42"/>
    <mergeCell ref="B43:H43"/>
    <mergeCell ref="C44:E44"/>
    <mergeCell ref="F44:H44"/>
    <mergeCell ref="C45:E45"/>
    <mergeCell ref="F45:H45"/>
    <mergeCell ref="C46:E46"/>
    <mergeCell ref="F46:H46"/>
    <mergeCell ref="C47:E47"/>
    <mergeCell ref="F47:H47"/>
    <mergeCell ref="B48:H48"/>
    <mergeCell ref="C49:E49"/>
    <mergeCell ref="F49:H49"/>
    <mergeCell ref="C50:E50"/>
    <mergeCell ref="F50:H50"/>
    <mergeCell ref="C51:E51"/>
    <mergeCell ref="F51:H51"/>
    <mergeCell ref="C52:E52"/>
    <mergeCell ref="F52:H52"/>
    <mergeCell ref="B53:H53"/>
    <mergeCell ref="C54:E54"/>
    <mergeCell ref="F54:H54"/>
    <mergeCell ref="C55:E55"/>
    <mergeCell ref="F55:H55"/>
    <mergeCell ref="F56:H56"/>
    <mergeCell ref="C56:E56"/>
    <mergeCell ref="C57:E57"/>
    <mergeCell ref="F57:H57"/>
    <mergeCell ref="B58:H58"/>
    <mergeCell ref="C59:D59"/>
    <mergeCell ref="E59:F59"/>
    <mergeCell ref="G59:H59"/>
  </mergeCells>
  <conditionalFormatting sqref="C11:E11">
    <cfRule type="cellIs" dxfId="2" priority="1" operator="lessThanOrEqual">
      <formula>TODAY()-1</formula>
    </cfRule>
  </conditionalFormatting>
  <conditionalFormatting sqref="F9">
    <cfRule type="expression" dxfId="1" priority="2">
      <formula>$L9=TRUE</formula>
    </cfRule>
  </conditionalFormatting>
  <conditionalFormatting sqref="N5 C6 C11:H11 N11 R11 C16:H16 N17 P17:R17 C21:G21 N23 P23 R23 C26 E26:H26 C31:H31 C36:H36 C41:H41 C46:H46 C51:H51 C56:H56 C60:C61 E61 G61 C66 E66:G66 C71 E71:G71">
    <cfRule type="cellIs" dxfId="0" priority="3" operator="lessThanOrEqual">
      <formula>TODAY()-1</formula>
    </cfRule>
  </conditionalFormatting>
  <conditionalFormatting sqref="N5 C6 C11:H11 N11 R11 C16:H16 N17 P17:R17 C21:G21 N23 P23 R23 C26 E26:H26 C31:H31 C36:H36 C41:H41 C46:H46 C51:H51 C56:H56 C60:C61 E61 G61 C66 E66:G66 C71 E71:G71">
    <cfRule type="cellIs" dxfId="3" priority="4" operator="lessThanOrEqual">
      <formula>TODAY()</formula>
    </cfRule>
  </conditionalFormatting>
  <conditionalFormatting sqref="N5 C6 C11:H11 N11 R11 C16:H16 N17 P17:R17 C21:G21 N23 P23 R23 C26 E26:H26 C31:H31 C36:H36 C41:H41 C46:H46 C51:H51 C56:H56 C60:C61 E61 G61 C66 E66:G66 C71 E71:G71">
    <cfRule type="cellIs" dxfId="4" priority="5" operator="lessThanOrEqual">
      <formula>TODAY()+3</formula>
    </cfRule>
  </conditionalFormatting>
  <conditionalFormatting sqref="N5 C6 C11:H11 N11 R11 C16:H16 N17 P17:R17 C21:G21 N23 P23 R23 C26 E26:H26 C31:H31 C36:H36 C41:H41 C46:H46 C51:H51 C56:H56 C60:C61 E61 G61 C66 E66:G66 C71 E71:G71">
    <cfRule type="cellIs" dxfId="5" priority="6" operator="lessThanOrEqual">
      <formula>TODAY()+8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9.38"/>
    <col customWidth="1" min="3" max="3" width="6.5"/>
    <col customWidth="1" min="4" max="4" width="9.13"/>
    <col customWidth="1" min="5" max="5" width="6.0"/>
    <col customWidth="1" min="6" max="6" width="10.5"/>
    <col customWidth="1" min="7" max="7" width="6.0"/>
    <col customWidth="1" min="8" max="8" width="9.88"/>
    <col customWidth="1" min="9" max="9" width="5.63"/>
    <col customWidth="1" min="10" max="10" width="7.0"/>
    <col customWidth="1" min="11" max="11" width="8.25"/>
    <col customWidth="1" min="12" max="12" width="4.5"/>
    <col customWidth="1" min="13" max="13" width="8.88" outlineLevel="1"/>
    <col customWidth="1" min="14" max="14" width="3.88" outlineLevel="1"/>
    <col customWidth="1" min="15" max="15" width="6.88" outlineLevel="1"/>
    <col customWidth="1" min="16" max="16" width="6.0" outlineLevel="1"/>
    <col customWidth="1" min="17" max="17" width="7.38" outlineLevel="1"/>
    <col customWidth="1" min="18" max="18" width="5.63" outlineLevel="1"/>
    <col customWidth="1" min="19" max="19" width="5.0" outlineLevel="1"/>
  </cols>
  <sheetData>
    <row r="1">
      <c r="A1" s="6" t="s">
        <v>10</v>
      </c>
    </row>
    <row r="2">
      <c r="B2" s="3" t="s">
        <v>15</v>
      </c>
      <c r="I2" s="8"/>
      <c r="J2" s="8"/>
      <c r="K2" s="8"/>
      <c r="L2" s="13" t="s">
        <v>17</v>
      </c>
      <c r="M2" s="16">
        <v>900.0</v>
      </c>
    </row>
    <row r="3">
      <c r="B3" s="9" t="s">
        <v>25</v>
      </c>
      <c r="C3" s="10"/>
      <c r="D3" s="10"/>
      <c r="E3" s="10"/>
      <c r="F3" s="10"/>
      <c r="G3" s="10"/>
      <c r="H3" s="12"/>
      <c r="I3" s="18"/>
      <c r="J3" s="18"/>
      <c r="K3" s="18"/>
      <c r="M3" s="20" t="s">
        <v>30</v>
      </c>
      <c r="N3" s="24"/>
      <c r="S3" s="26"/>
    </row>
    <row r="4">
      <c r="B4" s="27" t="s">
        <v>30</v>
      </c>
      <c r="C4" s="29"/>
      <c r="D4" s="26"/>
      <c r="E4" s="33" t="s">
        <v>33</v>
      </c>
      <c r="F4" s="26"/>
      <c r="G4" s="29"/>
      <c r="H4" s="26"/>
      <c r="I4" s="34"/>
      <c r="J4" s="36"/>
      <c r="K4" s="36"/>
      <c r="M4" s="20" t="s">
        <v>37</v>
      </c>
      <c r="N4" s="38">
        <v>45658.0</v>
      </c>
      <c r="S4" s="26"/>
    </row>
    <row r="5">
      <c r="B5" s="27" t="s">
        <v>37</v>
      </c>
      <c r="C5" s="38"/>
      <c r="D5" s="26"/>
      <c r="E5" s="38">
        <v>46174.0</v>
      </c>
      <c r="F5" s="26"/>
      <c r="G5" s="38"/>
      <c r="H5" s="26"/>
      <c r="I5" s="42"/>
      <c r="J5" s="42"/>
      <c r="K5" s="42"/>
      <c r="M5" s="20" t="s">
        <v>42</v>
      </c>
      <c r="N5" s="44">
        <v>45833.0</v>
      </c>
      <c r="S5" s="26"/>
    </row>
    <row r="6">
      <c r="B6" s="27" t="s">
        <v>42</v>
      </c>
      <c r="C6" s="44"/>
      <c r="D6" s="26"/>
      <c r="E6" s="46">
        <v>46265.0</v>
      </c>
      <c r="F6" s="26"/>
      <c r="G6" s="44"/>
      <c r="H6" s="26"/>
      <c r="I6" s="42"/>
      <c r="J6" s="42"/>
      <c r="K6" s="42"/>
      <c r="M6" s="20" t="s">
        <v>45</v>
      </c>
      <c r="N6" s="24"/>
      <c r="S6" s="26"/>
    </row>
    <row r="7">
      <c r="B7" s="27" t="s">
        <v>45</v>
      </c>
      <c r="C7" s="49"/>
      <c r="D7" s="52"/>
      <c r="E7" s="29">
        <v>300.0</v>
      </c>
      <c r="F7" s="26"/>
      <c r="G7" s="29"/>
      <c r="H7" s="26"/>
      <c r="I7" s="36"/>
      <c r="J7" s="36"/>
      <c r="K7" s="36"/>
    </row>
    <row r="8">
      <c r="B8" s="9" t="s">
        <v>48</v>
      </c>
      <c r="C8" s="10"/>
      <c r="D8" s="10"/>
      <c r="E8" s="10"/>
      <c r="F8" s="10"/>
      <c r="G8" s="10"/>
      <c r="H8" s="12"/>
      <c r="I8" s="18"/>
      <c r="J8" s="18"/>
      <c r="K8" s="18"/>
      <c r="M8" s="16">
        <v>600.0</v>
      </c>
    </row>
    <row r="9">
      <c r="B9" s="27" t="s">
        <v>30</v>
      </c>
      <c r="C9" s="54"/>
      <c r="D9" s="55"/>
      <c r="E9" s="56"/>
      <c r="F9" s="57"/>
      <c r="H9" s="26"/>
      <c r="I9" s="34"/>
      <c r="J9" s="36"/>
      <c r="K9" s="36"/>
      <c r="M9" s="20" t="s">
        <v>30</v>
      </c>
      <c r="N9" s="24"/>
      <c r="Q9" s="26"/>
      <c r="R9" s="47"/>
      <c r="S9" s="26"/>
    </row>
    <row r="10">
      <c r="B10" s="27" t="s">
        <v>37</v>
      </c>
      <c r="C10" s="38"/>
      <c r="E10" s="26"/>
      <c r="F10" s="58"/>
      <c r="H10" s="26"/>
      <c r="I10" s="42"/>
      <c r="J10" s="42"/>
      <c r="K10" s="42"/>
      <c r="M10" s="20" t="s">
        <v>37</v>
      </c>
      <c r="N10" s="38">
        <v>45658.0</v>
      </c>
      <c r="Q10" s="26"/>
      <c r="R10" s="58">
        <v>45658.0</v>
      </c>
      <c r="S10" s="26"/>
    </row>
    <row r="11">
      <c r="B11" s="27" t="s">
        <v>42</v>
      </c>
      <c r="C11" s="44"/>
      <c r="E11" s="26"/>
      <c r="F11" s="46"/>
      <c r="H11" s="26"/>
      <c r="I11" s="42"/>
      <c r="J11" s="42"/>
      <c r="K11" s="42"/>
      <c r="M11" s="20" t="s">
        <v>42</v>
      </c>
      <c r="N11" s="44">
        <v>45658.0</v>
      </c>
      <c r="Q11" s="26"/>
      <c r="R11" s="46">
        <v>45658.0</v>
      </c>
      <c r="S11" s="26"/>
    </row>
    <row r="12">
      <c r="B12" s="27" t="s">
        <v>45</v>
      </c>
      <c r="C12" s="49"/>
      <c r="D12" s="53"/>
      <c r="E12" s="52"/>
      <c r="F12" s="43"/>
      <c r="H12" s="26"/>
      <c r="I12" s="36"/>
      <c r="J12" s="36"/>
      <c r="K12" s="36"/>
      <c r="M12" s="20" t="s">
        <v>45</v>
      </c>
      <c r="N12" s="24"/>
      <c r="Q12" s="26"/>
      <c r="R12" s="47"/>
      <c r="S12" s="26"/>
    </row>
    <row r="13">
      <c r="B13" s="61" t="s">
        <v>71</v>
      </c>
      <c r="C13" s="55"/>
      <c r="D13" s="55"/>
      <c r="E13" s="55"/>
      <c r="F13" s="55"/>
      <c r="G13" s="55"/>
      <c r="H13" s="56"/>
      <c r="I13" s="18"/>
      <c r="J13" s="18"/>
      <c r="K13" s="18"/>
    </row>
    <row r="14">
      <c r="B14" s="40" t="s">
        <v>30</v>
      </c>
      <c r="C14" s="57" t="s">
        <v>77</v>
      </c>
      <c r="E14" s="26"/>
      <c r="F14" s="29" t="s">
        <v>79</v>
      </c>
      <c r="H14" s="26"/>
      <c r="I14" s="34"/>
      <c r="J14" s="36"/>
      <c r="K14" s="36"/>
      <c r="M14" s="16">
        <v>450.0</v>
      </c>
    </row>
    <row r="15">
      <c r="B15" s="40" t="s">
        <v>37</v>
      </c>
      <c r="C15" s="58">
        <v>46181.0</v>
      </c>
      <c r="E15" s="26"/>
      <c r="F15" s="38">
        <v>46246.0</v>
      </c>
      <c r="H15" s="26"/>
      <c r="I15" s="42"/>
      <c r="J15" s="42"/>
      <c r="K15" s="42"/>
      <c r="M15" s="20" t="s">
        <v>30</v>
      </c>
      <c r="N15" s="24"/>
      <c r="P15" s="26"/>
      <c r="Q15" s="47"/>
      <c r="S15" s="26"/>
    </row>
    <row r="16">
      <c r="B16" s="40" t="s">
        <v>42</v>
      </c>
      <c r="C16" s="46">
        <v>46387.0</v>
      </c>
      <c r="E16" s="26"/>
      <c r="F16" s="44">
        <v>46275.0</v>
      </c>
      <c r="H16" s="26"/>
      <c r="I16" s="42"/>
      <c r="J16" s="42"/>
      <c r="K16" s="42"/>
      <c r="M16" s="20" t="s">
        <v>37</v>
      </c>
      <c r="N16" s="38">
        <v>45658.0</v>
      </c>
      <c r="P16" s="26"/>
      <c r="Q16" s="58">
        <v>45658.0</v>
      </c>
      <c r="S16" s="26"/>
    </row>
    <row r="17">
      <c r="B17" s="40" t="s">
        <v>45</v>
      </c>
      <c r="C17" s="43">
        <v>300.0</v>
      </c>
      <c r="E17" s="26"/>
      <c r="F17" s="24"/>
      <c r="H17" s="26"/>
      <c r="I17" s="36"/>
      <c r="J17" s="36"/>
      <c r="K17" s="36"/>
      <c r="M17" s="20" t="s">
        <v>42</v>
      </c>
      <c r="N17" s="44">
        <v>45658.0</v>
      </c>
      <c r="P17" s="26"/>
      <c r="Q17" s="46">
        <v>45658.0</v>
      </c>
      <c r="S17" s="26"/>
    </row>
    <row r="18">
      <c r="B18" s="63" t="s">
        <v>88</v>
      </c>
      <c r="C18" s="53"/>
      <c r="D18" s="53"/>
      <c r="E18" s="53"/>
      <c r="F18" s="53"/>
      <c r="G18" s="53"/>
      <c r="H18" s="52"/>
      <c r="I18" s="18"/>
      <c r="J18" s="18"/>
      <c r="K18" s="18"/>
      <c r="M18" s="20" t="s">
        <v>45</v>
      </c>
      <c r="N18" s="24"/>
      <c r="P18" s="26"/>
      <c r="Q18" s="47"/>
      <c r="S18" s="26"/>
    </row>
    <row r="19">
      <c r="B19" s="27" t="s">
        <v>30</v>
      </c>
      <c r="C19" s="54" t="s">
        <v>92</v>
      </c>
      <c r="D19" s="55"/>
      <c r="E19" s="56"/>
      <c r="F19" s="54" t="s">
        <v>93</v>
      </c>
      <c r="G19" s="55"/>
      <c r="H19" s="56"/>
      <c r="I19" s="34"/>
      <c r="J19" s="36"/>
      <c r="K19" s="36"/>
    </row>
    <row r="20">
      <c r="B20" s="27" t="s">
        <v>37</v>
      </c>
      <c r="C20" s="38">
        <v>46161.0</v>
      </c>
      <c r="E20" s="26"/>
      <c r="F20" s="38">
        <v>46196.0</v>
      </c>
      <c r="H20" s="26"/>
      <c r="I20" s="42"/>
      <c r="J20" s="42"/>
      <c r="K20" s="42"/>
      <c r="M20" s="16">
        <v>300.0</v>
      </c>
    </row>
    <row r="21">
      <c r="B21" s="27" t="s">
        <v>42</v>
      </c>
      <c r="C21" s="38">
        <v>46252.0</v>
      </c>
      <c r="E21" s="26"/>
      <c r="F21" s="38">
        <v>46326.0</v>
      </c>
      <c r="H21" s="26"/>
      <c r="I21" s="42"/>
      <c r="J21" s="42"/>
      <c r="K21" s="42"/>
      <c r="M21" s="20" t="s">
        <v>30</v>
      </c>
      <c r="N21" s="24"/>
      <c r="O21" s="26"/>
      <c r="P21" s="47"/>
      <c r="Q21" s="26"/>
      <c r="R21" s="47"/>
      <c r="S21" s="26"/>
    </row>
    <row r="22">
      <c r="B22" s="27" t="s">
        <v>45</v>
      </c>
      <c r="C22" s="49">
        <v>450.0</v>
      </c>
      <c r="D22" s="53"/>
      <c r="E22" s="52"/>
      <c r="F22" s="49">
        <v>450.0</v>
      </c>
      <c r="G22" s="53"/>
      <c r="H22" s="52"/>
      <c r="I22" s="36"/>
      <c r="J22" s="36"/>
      <c r="K22" s="36"/>
      <c r="M22" s="20" t="s">
        <v>37</v>
      </c>
      <c r="N22" s="38">
        <v>45658.0</v>
      </c>
      <c r="O22" s="26"/>
      <c r="P22" s="58">
        <v>45658.0</v>
      </c>
      <c r="Q22" s="26"/>
      <c r="R22" s="58">
        <v>45658.0</v>
      </c>
      <c r="S22" s="26"/>
    </row>
    <row r="23">
      <c r="B23" s="9" t="s">
        <v>102</v>
      </c>
      <c r="C23" s="10"/>
      <c r="D23" s="10"/>
      <c r="E23" s="10"/>
      <c r="F23" s="10"/>
      <c r="G23" s="10"/>
      <c r="H23" s="12"/>
      <c r="I23" s="18"/>
      <c r="J23" s="18"/>
      <c r="K23" s="18"/>
      <c r="M23" s="20" t="s">
        <v>42</v>
      </c>
      <c r="N23" s="44">
        <v>45658.0</v>
      </c>
      <c r="O23" s="26"/>
      <c r="P23" s="46">
        <v>45658.0</v>
      </c>
      <c r="Q23" s="26"/>
      <c r="R23" s="46">
        <v>45658.0</v>
      </c>
      <c r="S23" s="26"/>
    </row>
    <row r="24">
      <c r="B24" s="27" t="s">
        <v>30</v>
      </c>
      <c r="C24" s="29"/>
      <c r="E24" s="26"/>
      <c r="F24" s="43" t="s">
        <v>108</v>
      </c>
      <c r="H24" s="26"/>
      <c r="I24" s="34"/>
      <c r="J24" s="36"/>
      <c r="K24" s="36"/>
      <c r="M24" s="20" t="s">
        <v>45</v>
      </c>
      <c r="N24" s="24"/>
      <c r="O24" s="26"/>
      <c r="P24" s="47"/>
      <c r="Q24" s="26"/>
      <c r="R24" s="47"/>
      <c r="S24" s="26"/>
    </row>
    <row r="25">
      <c r="B25" s="27" t="s">
        <v>37</v>
      </c>
      <c r="C25" s="38"/>
      <c r="E25" s="26"/>
      <c r="F25" s="38">
        <v>46249.0</v>
      </c>
      <c r="H25" s="26"/>
      <c r="I25" s="36"/>
      <c r="J25" s="36"/>
      <c r="K25" s="36"/>
    </row>
    <row r="26">
      <c r="B26" s="27" t="s">
        <v>42</v>
      </c>
      <c r="C26" s="44"/>
      <c r="E26" s="26"/>
      <c r="F26" s="44">
        <v>46643.0</v>
      </c>
      <c r="H26" s="26"/>
      <c r="I26" s="36"/>
      <c r="J26" s="36"/>
      <c r="K26" s="36"/>
      <c r="L26" s="71"/>
    </row>
    <row r="27">
      <c r="B27" s="27" t="s">
        <v>45</v>
      </c>
      <c r="C27" s="29"/>
      <c r="E27" s="26"/>
      <c r="F27" s="29">
        <v>450.0</v>
      </c>
      <c r="H27" s="26"/>
      <c r="I27" s="36"/>
      <c r="J27" s="36"/>
      <c r="K27" s="36"/>
      <c r="L27" s="71"/>
    </row>
    <row r="28">
      <c r="B28" s="9" t="s">
        <v>116</v>
      </c>
      <c r="C28" s="10"/>
      <c r="D28" s="10"/>
      <c r="E28" s="10"/>
      <c r="F28" s="10"/>
      <c r="G28" s="10"/>
      <c r="H28" s="12"/>
      <c r="I28" s="18"/>
      <c r="J28" s="18"/>
      <c r="K28" s="18"/>
      <c r="L28" s="71"/>
    </row>
    <row r="29">
      <c r="B29" s="27" t="s">
        <v>30</v>
      </c>
      <c r="C29" s="54"/>
      <c r="D29" s="55"/>
      <c r="E29" s="56"/>
      <c r="F29" s="57"/>
      <c r="H29" s="26"/>
      <c r="I29" s="34"/>
      <c r="J29" s="36"/>
      <c r="K29" s="36"/>
      <c r="L29" s="29"/>
      <c r="M29" s="43"/>
      <c r="N29" s="43"/>
      <c r="O29" s="43"/>
      <c r="P29" s="43"/>
      <c r="Q29" s="43"/>
      <c r="R29" s="43"/>
      <c r="S29" s="43"/>
      <c r="T29" s="43"/>
      <c r="U29" s="72"/>
    </row>
    <row r="30">
      <c r="B30" s="27" t="s">
        <v>37</v>
      </c>
      <c r="C30" s="38"/>
      <c r="E30" s="26"/>
      <c r="F30" s="58"/>
      <c r="H30" s="26"/>
      <c r="I30" s="36"/>
      <c r="J30" s="36"/>
      <c r="K30" s="36"/>
      <c r="L30" s="29"/>
      <c r="M30" s="43"/>
      <c r="N30" s="43"/>
      <c r="O30" s="43"/>
      <c r="P30" s="43"/>
      <c r="Q30" s="43"/>
      <c r="R30" s="43"/>
      <c r="S30" s="43"/>
      <c r="T30" s="43"/>
      <c r="U30" s="72"/>
    </row>
    <row r="31">
      <c r="B31" s="27" t="s">
        <v>42</v>
      </c>
      <c r="C31" s="44"/>
      <c r="E31" s="26"/>
      <c r="F31" s="46"/>
      <c r="H31" s="26"/>
      <c r="I31" s="36"/>
      <c r="J31" s="36"/>
      <c r="K31" s="36"/>
      <c r="L31" s="29"/>
      <c r="M31" s="43"/>
      <c r="N31" s="43"/>
      <c r="O31" s="43"/>
      <c r="P31" s="43"/>
      <c r="Q31" s="43"/>
      <c r="R31" s="43"/>
      <c r="S31" s="43"/>
      <c r="T31" s="43"/>
      <c r="U31" s="72"/>
    </row>
    <row r="32">
      <c r="B32" s="27" t="s">
        <v>45</v>
      </c>
      <c r="C32" s="49"/>
      <c r="D32" s="53"/>
      <c r="E32" s="52"/>
      <c r="F32" s="43"/>
      <c r="H32" s="26"/>
      <c r="I32" s="36"/>
      <c r="J32" s="36"/>
      <c r="K32" s="36"/>
      <c r="L32" s="29"/>
      <c r="M32" s="43"/>
      <c r="N32" s="43"/>
      <c r="O32" s="43"/>
      <c r="P32" s="43"/>
      <c r="Q32" s="43"/>
      <c r="R32" s="43"/>
      <c r="S32" s="43"/>
      <c r="T32" s="43"/>
      <c r="U32" s="72"/>
    </row>
    <row r="33">
      <c r="B33" s="9" t="s">
        <v>135</v>
      </c>
      <c r="C33" s="10"/>
      <c r="D33" s="10"/>
      <c r="E33" s="10"/>
      <c r="F33" s="10"/>
      <c r="G33" s="10"/>
      <c r="H33" s="12"/>
      <c r="I33" s="18"/>
      <c r="J33" s="18"/>
      <c r="K33" s="18"/>
      <c r="L33" s="29"/>
      <c r="M33" s="43"/>
      <c r="N33" s="43"/>
      <c r="O33" s="43"/>
      <c r="P33" s="43"/>
      <c r="Q33" s="43"/>
      <c r="R33" s="43"/>
      <c r="S33" s="43"/>
      <c r="T33" s="43"/>
      <c r="U33" s="72"/>
    </row>
    <row r="34">
      <c r="B34" s="27" t="s">
        <v>30</v>
      </c>
      <c r="C34" s="33" t="s">
        <v>140</v>
      </c>
      <c r="E34" s="26"/>
      <c r="F34" s="43" t="s">
        <v>142</v>
      </c>
      <c r="H34" s="26"/>
      <c r="I34" s="34"/>
      <c r="J34" s="36"/>
      <c r="K34" s="36"/>
      <c r="L34" s="71"/>
    </row>
    <row r="35">
      <c r="B35" s="27" t="s">
        <v>37</v>
      </c>
      <c r="C35" s="38">
        <v>46246.0</v>
      </c>
      <c r="E35" s="26"/>
      <c r="F35" s="58">
        <v>46184.0</v>
      </c>
      <c r="H35" s="26"/>
      <c r="I35" s="36"/>
      <c r="J35" s="36"/>
      <c r="K35" s="36"/>
      <c r="L35" s="71"/>
    </row>
    <row r="36">
      <c r="B36" s="27" t="s">
        <v>42</v>
      </c>
      <c r="C36" s="44">
        <v>46265.0</v>
      </c>
      <c r="E36" s="26"/>
      <c r="F36" s="46">
        <v>46253.0</v>
      </c>
      <c r="H36" s="26"/>
      <c r="I36" s="36"/>
      <c r="J36" s="36"/>
      <c r="K36" s="36"/>
      <c r="L36" s="71"/>
    </row>
    <row r="37">
      <c r="B37" s="27" t="s">
        <v>45</v>
      </c>
      <c r="C37" s="29">
        <v>300.0</v>
      </c>
      <c r="E37" s="26"/>
      <c r="F37" s="43">
        <v>450.0</v>
      </c>
      <c r="H37" s="26"/>
      <c r="I37" s="36"/>
      <c r="J37" s="36"/>
      <c r="K37" s="36"/>
      <c r="L37" s="71"/>
    </row>
    <row r="38">
      <c r="B38" s="9" t="s">
        <v>148</v>
      </c>
      <c r="C38" s="10"/>
      <c r="D38" s="10"/>
      <c r="E38" s="10"/>
      <c r="F38" s="10"/>
      <c r="G38" s="10"/>
      <c r="H38" s="12"/>
      <c r="I38" s="18"/>
      <c r="J38" s="18"/>
      <c r="K38" s="18"/>
      <c r="L38" s="71"/>
    </row>
    <row r="39">
      <c r="B39" s="27" t="s">
        <v>30</v>
      </c>
      <c r="C39" s="29"/>
      <c r="E39" s="26"/>
      <c r="F39" s="29"/>
      <c r="H39" s="26"/>
      <c r="I39" s="34"/>
      <c r="J39" s="36"/>
      <c r="K39" s="36"/>
      <c r="L39" s="71"/>
    </row>
    <row r="40">
      <c r="B40" s="27" t="s">
        <v>37</v>
      </c>
      <c r="C40" s="38"/>
      <c r="E40" s="26"/>
      <c r="F40" s="38"/>
      <c r="H40" s="26"/>
      <c r="I40" s="36"/>
      <c r="J40" s="36"/>
      <c r="K40" s="36"/>
      <c r="L40" s="71"/>
    </row>
    <row r="41">
      <c r="B41" s="27" t="s">
        <v>42</v>
      </c>
      <c r="C41" s="44"/>
      <c r="E41" s="26"/>
      <c r="F41" s="44"/>
      <c r="H41" s="26"/>
      <c r="I41" s="36"/>
      <c r="J41" s="36"/>
      <c r="K41" s="36"/>
      <c r="L41" s="71"/>
    </row>
    <row r="42">
      <c r="B42" s="27" t="s">
        <v>45</v>
      </c>
      <c r="C42" s="29"/>
      <c r="E42" s="26"/>
      <c r="F42" s="29"/>
      <c r="H42" s="26"/>
      <c r="I42" s="36"/>
      <c r="J42" s="36"/>
      <c r="K42" s="36"/>
      <c r="L42" s="71"/>
    </row>
    <row r="43">
      <c r="B43" s="9" t="s">
        <v>155</v>
      </c>
      <c r="C43" s="10"/>
      <c r="D43" s="10"/>
      <c r="E43" s="10"/>
      <c r="F43" s="10"/>
      <c r="G43" s="10"/>
      <c r="H43" s="12"/>
      <c r="I43" s="18"/>
      <c r="J43" s="18"/>
      <c r="K43" s="18"/>
      <c r="L43" s="71"/>
    </row>
    <row r="44">
      <c r="B44" s="27" t="s">
        <v>30</v>
      </c>
      <c r="C44" s="33" t="s">
        <v>75</v>
      </c>
      <c r="D44" s="26"/>
      <c r="E44" s="83"/>
      <c r="F44" s="26"/>
      <c r="G44" s="29" t="s">
        <v>162</v>
      </c>
      <c r="H44" s="26"/>
      <c r="I44" s="34"/>
      <c r="J44" s="36"/>
      <c r="K44" s="36"/>
      <c r="L44" s="71"/>
    </row>
    <row r="45">
      <c r="B45" s="40" t="s">
        <v>37</v>
      </c>
      <c r="C45" s="58">
        <v>46185.0</v>
      </c>
      <c r="D45" s="26"/>
      <c r="E45" s="38"/>
      <c r="F45" s="26"/>
      <c r="G45" s="58">
        <v>46235.0</v>
      </c>
      <c r="H45" s="26"/>
      <c r="I45" s="36"/>
      <c r="J45" s="36"/>
      <c r="K45" s="36"/>
      <c r="L45" s="71"/>
    </row>
    <row r="46">
      <c r="B46" s="40" t="s">
        <v>42</v>
      </c>
      <c r="C46" s="46">
        <v>46246.0</v>
      </c>
      <c r="D46" s="26"/>
      <c r="E46" s="38"/>
      <c r="F46" s="26"/>
      <c r="G46" s="46">
        <v>46265.0</v>
      </c>
      <c r="H46" s="26"/>
      <c r="I46" s="36"/>
      <c r="J46" s="36"/>
      <c r="K46" s="36"/>
      <c r="L46" s="71"/>
      <c r="Z46" s="6" t="s">
        <v>62</v>
      </c>
    </row>
    <row r="47">
      <c r="B47" s="48" t="s">
        <v>45</v>
      </c>
      <c r="C47" s="43">
        <v>300.0</v>
      </c>
      <c r="D47" s="26"/>
      <c r="E47" s="29"/>
      <c r="F47" s="26"/>
      <c r="G47" s="29">
        <v>300.0</v>
      </c>
      <c r="H47" s="26"/>
      <c r="I47" s="36"/>
      <c r="J47" s="36"/>
      <c r="K47" s="36"/>
      <c r="L47" s="71"/>
    </row>
    <row r="48">
      <c r="B48" s="85" t="s">
        <v>171</v>
      </c>
      <c r="H48" s="26"/>
      <c r="I48" s="18"/>
      <c r="J48" s="18"/>
      <c r="K48" s="18"/>
      <c r="L48" s="71"/>
    </row>
    <row r="49">
      <c r="B49" s="40" t="s">
        <v>30</v>
      </c>
      <c r="C49" s="33" t="s">
        <v>138</v>
      </c>
      <c r="E49" s="26"/>
      <c r="F49" s="43" t="s">
        <v>174</v>
      </c>
      <c r="H49" s="26"/>
      <c r="I49" s="34"/>
      <c r="J49" s="36"/>
      <c r="K49" s="36"/>
      <c r="L49" s="71"/>
    </row>
    <row r="50">
      <c r="B50" s="40" t="s">
        <v>37</v>
      </c>
      <c r="C50" s="78">
        <v>46230.0</v>
      </c>
      <c r="E50" s="26"/>
      <c r="F50" s="58">
        <v>46225.0</v>
      </c>
      <c r="H50" s="26"/>
      <c r="I50" s="36"/>
      <c r="J50" s="36"/>
      <c r="K50" s="36"/>
      <c r="L50" s="71"/>
    </row>
    <row r="51">
      <c r="B51" s="40" t="s">
        <v>42</v>
      </c>
      <c r="C51" s="79">
        <v>46260.0</v>
      </c>
      <c r="E51" s="26"/>
      <c r="F51" s="46">
        <v>46255.0</v>
      </c>
      <c r="H51" s="26"/>
      <c r="I51" s="36"/>
      <c r="J51" s="36"/>
      <c r="K51" s="36"/>
      <c r="L51" s="71"/>
    </row>
    <row r="52">
      <c r="B52" s="48" t="s">
        <v>45</v>
      </c>
      <c r="C52" s="49">
        <v>450.0</v>
      </c>
      <c r="D52" s="53"/>
      <c r="E52" s="52"/>
      <c r="F52" s="86">
        <v>450.0</v>
      </c>
      <c r="G52" s="53"/>
      <c r="H52" s="52"/>
      <c r="I52" s="36"/>
      <c r="J52" s="36"/>
      <c r="K52" s="36"/>
      <c r="L52" s="71"/>
    </row>
    <row r="53">
      <c r="I53" s="36"/>
      <c r="J53" s="36"/>
      <c r="K53" s="36"/>
      <c r="L53" s="71"/>
    </row>
    <row r="54">
      <c r="B54" s="3" t="s">
        <v>186</v>
      </c>
      <c r="G54" s="3" t="str">
        <f>SUM(C7,C12,C17,F17,C22,F22,C27,F27,F37,F32,C37,#REF!,C42,F42,C47,E47,G47,C52,E52,G52)</f>
        <v>#REF!</v>
      </c>
      <c r="I54" s="36"/>
      <c r="J54" s="36"/>
      <c r="K54" s="36"/>
      <c r="L54" s="71"/>
    </row>
    <row r="55">
      <c r="I55" s="36"/>
      <c r="J55" s="36"/>
      <c r="K55" s="36"/>
    </row>
  </sheetData>
  <mergeCells count="138">
    <mergeCell ref="N3:S3"/>
    <mergeCell ref="N4:S4"/>
    <mergeCell ref="C5:D5"/>
    <mergeCell ref="E5:F5"/>
    <mergeCell ref="G5:H5"/>
    <mergeCell ref="N5:S5"/>
    <mergeCell ref="C6:D6"/>
    <mergeCell ref="E6:F6"/>
    <mergeCell ref="G6:H6"/>
    <mergeCell ref="N6:S6"/>
    <mergeCell ref="C7:D7"/>
    <mergeCell ref="E7:F7"/>
    <mergeCell ref="G7:H7"/>
    <mergeCell ref="B8:H8"/>
    <mergeCell ref="M8:S8"/>
    <mergeCell ref="N9:Q9"/>
    <mergeCell ref="R9:S9"/>
    <mergeCell ref="C10:E10"/>
    <mergeCell ref="F10:H10"/>
    <mergeCell ref="N10:Q10"/>
    <mergeCell ref="R10:S10"/>
    <mergeCell ref="C11:E11"/>
    <mergeCell ref="F11:H11"/>
    <mergeCell ref="N11:Q11"/>
    <mergeCell ref="R11:S11"/>
    <mergeCell ref="C12:E12"/>
    <mergeCell ref="F12:H12"/>
    <mergeCell ref="N12:Q12"/>
    <mergeCell ref="R12:S12"/>
    <mergeCell ref="C4:D4"/>
    <mergeCell ref="C9:E9"/>
    <mergeCell ref="B13:H13"/>
    <mergeCell ref="C14:E14"/>
    <mergeCell ref="F14:H14"/>
    <mergeCell ref="C16:E16"/>
    <mergeCell ref="F16:H16"/>
    <mergeCell ref="N16:P16"/>
    <mergeCell ref="Q16:S16"/>
    <mergeCell ref="C17:E17"/>
    <mergeCell ref="F17:H17"/>
    <mergeCell ref="N17:P17"/>
    <mergeCell ref="Q17:S17"/>
    <mergeCell ref="B18:H18"/>
    <mergeCell ref="N18:P18"/>
    <mergeCell ref="M14:S14"/>
    <mergeCell ref="C15:E15"/>
    <mergeCell ref="F15:H15"/>
    <mergeCell ref="N15:P15"/>
    <mergeCell ref="Q15:S15"/>
    <mergeCell ref="Q18:S18"/>
    <mergeCell ref="C19:E19"/>
    <mergeCell ref="F19:H19"/>
    <mergeCell ref="C20:E20"/>
    <mergeCell ref="F20:H20"/>
    <mergeCell ref="M20:S20"/>
    <mergeCell ref="C21:E21"/>
    <mergeCell ref="F21:H21"/>
    <mergeCell ref="N21:O21"/>
    <mergeCell ref="P21:Q21"/>
    <mergeCell ref="R21:S21"/>
    <mergeCell ref="C22:E22"/>
    <mergeCell ref="F22:H22"/>
    <mergeCell ref="N22:O22"/>
    <mergeCell ref="P22:Q22"/>
    <mergeCell ref="C24:E24"/>
    <mergeCell ref="F24:H24"/>
    <mergeCell ref="C36:E36"/>
    <mergeCell ref="F36:H36"/>
    <mergeCell ref="C37:E37"/>
    <mergeCell ref="F37:H37"/>
    <mergeCell ref="B38:H38"/>
    <mergeCell ref="C39:E39"/>
    <mergeCell ref="F39:H39"/>
    <mergeCell ref="C40:E40"/>
    <mergeCell ref="F40:H40"/>
    <mergeCell ref="C41:E41"/>
    <mergeCell ref="F41:H41"/>
    <mergeCell ref="C42:E42"/>
    <mergeCell ref="F42:H42"/>
    <mergeCell ref="B43:H43"/>
    <mergeCell ref="E47:F47"/>
    <mergeCell ref="G47:H47"/>
    <mergeCell ref="C45:D45"/>
    <mergeCell ref="E45:F45"/>
    <mergeCell ref="G45:H45"/>
    <mergeCell ref="C46:D46"/>
    <mergeCell ref="E46:F46"/>
    <mergeCell ref="G46:H46"/>
    <mergeCell ref="C47:D47"/>
    <mergeCell ref="C52:E52"/>
    <mergeCell ref="F52:H52"/>
    <mergeCell ref="B54:F54"/>
    <mergeCell ref="G54:H54"/>
    <mergeCell ref="B48:H48"/>
    <mergeCell ref="C49:E49"/>
    <mergeCell ref="F49:H49"/>
    <mergeCell ref="C50:E50"/>
    <mergeCell ref="F50:H50"/>
    <mergeCell ref="C51:E51"/>
    <mergeCell ref="F51:H51"/>
    <mergeCell ref="R22:S22"/>
    <mergeCell ref="B23:H23"/>
    <mergeCell ref="N23:O23"/>
    <mergeCell ref="P23:Q23"/>
    <mergeCell ref="R23:S23"/>
    <mergeCell ref="N24:O24"/>
    <mergeCell ref="P24:Q24"/>
    <mergeCell ref="B2:H2"/>
    <mergeCell ref="L2:L25"/>
    <mergeCell ref="M2:S2"/>
    <mergeCell ref="B3:H3"/>
    <mergeCell ref="E4:F4"/>
    <mergeCell ref="G4:H4"/>
    <mergeCell ref="F9:H9"/>
    <mergeCell ref="R24:S24"/>
    <mergeCell ref="C25:E25"/>
    <mergeCell ref="F25:H25"/>
    <mergeCell ref="C26:E26"/>
    <mergeCell ref="F26:H26"/>
    <mergeCell ref="F27:H27"/>
    <mergeCell ref="B28:H28"/>
    <mergeCell ref="C27:E27"/>
    <mergeCell ref="C29:E29"/>
    <mergeCell ref="F29:H29"/>
    <mergeCell ref="C30:E30"/>
    <mergeCell ref="F30:H30"/>
    <mergeCell ref="C31:E31"/>
    <mergeCell ref="F31:H31"/>
    <mergeCell ref="C32:E32"/>
    <mergeCell ref="F32:H32"/>
    <mergeCell ref="B33:H33"/>
    <mergeCell ref="C34:E34"/>
    <mergeCell ref="F34:H34"/>
    <mergeCell ref="C35:E35"/>
    <mergeCell ref="F35:H35"/>
    <mergeCell ref="C44:D44"/>
    <mergeCell ref="E44:F44"/>
    <mergeCell ref="G44:H44"/>
  </mergeCells>
  <conditionalFormatting sqref="C51:E51">
    <cfRule type="cellIs" dxfId="0" priority="1" operator="lessThanOrEqual">
      <formula>TODAY()-1</formula>
    </cfRule>
  </conditionalFormatting>
  <conditionalFormatting sqref="C9 F9 C14 C19 F19 C24 E24 C29 F29 L29 P30 T30 C34 F39 H39">
    <cfRule type="expression" dxfId="1" priority="2">
      <formula>$L9=TRUE</formula>
    </cfRule>
  </conditionalFormatting>
  <conditionalFormatting sqref="N5 C6:H6 C11:H11 N11 R11 C16:H16 N17 P17:R17 F21:H21 N23 P23 R23 C26:H26 C31:H31 C36:H36 C41:H41 C46:D46 G46 C51:G51">
    <cfRule type="cellIs" dxfId="2" priority="3" operator="lessThanOrEqual">
      <formula>TODAY()-1</formula>
    </cfRule>
  </conditionalFormatting>
  <conditionalFormatting sqref="N5 C6:G6 C11:H11 N11 R11 C16:H16 N17 P17:R17 F21:H21 N23 P23 R23 C26:H26 C31:H31 C36:H36 C41:H41 C46:D46 G46 C51:G51">
    <cfRule type="cellIs" dxfId="3" priority="4" operator="lessThanOrEqual">
      <formula>TODAY()</formula>
    </cfRule>
  </conditionalFormatting>
  <conditionalFormatting sqref="N5 C6:G6 C11:H11 N11 R11 C16:H16 N17 P17:R17 F21:G21 N23 P23 R23 C26:H26 C31:H31 C36:H36 C41:H41 C46:D46 G46 C51:G51">
    <cfRule type="cellIs" dxfId="4" priority="5" operator="lessThanOrEqual">
      <formula>TODAY()+3</formula>
    </cfRule>
  </conditionalFormatting>
  <conditionalFormatting sqref="N5 C6:G6 C11:H11 N11 R11 C16:H16 N17 P17:R17 F21:G21 N23 P23 R23 C26:H26 C31:H31 C36:H36 C41:H41 C46:D46 G46 C51:G51">
    <cfRule type="cellIs" dxfId="5" priority="6" operator="lessThanOrEqual">
      <formula>TODAY()+8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9.38"/>
    <col customWidth="1" min="3" max="3" width="6.5"/>
    <col customWidth="1" min="4" max="4" width="11.13"/>
    <col customWidth="1" min="5" max="5" width="6.0"/>
    <col customWidth="1" min="6" max="6" width="10.5"/>
    <col customWidth="1" min="7" max="7" width="6.0"/>
    <col customWidth="1" min="8" max="8" width="9.88"/>
    <col customWidth="1" min="9" max="9" width="5.63"/>
    <col customWidth="1" min="10" max="10" width="7.0"/>
    <col customWidth="1" min="11" max="11" width="8.25"/>
    <col customWidth="1" min="12" max="12" width="4.5"/>
    <col customWidth="1" min="13" max="13" width="8.88" outlineLevel="1"/>
    <col customWidth="1" min="14" max="14" width="3.88" outlineLevel="1"/>
    <col customWidth="1" min="15" max="15" width="6.88" outlineLevel="1"/>
    <col customWidth="1" min="16" max="16" width="6.0" outlineLevel="1"/>
    <col customWidth="1" min="17" max="17" width="7.38" outlineLevel="1"/>
    <col customWidth="1" min="18" max="18" width="5.63" outlineLevel="1"/>
    <col customWidth="1" min="19" max="19" width="5.0" outlineLevel="1"/>
    <col customWidth="1" min="22" max="22" width="24.0"/>
    <col customWidth="1" min="23" max="23" width="21.0"/>
  </cols>
  <sheetData>
    <row r="1">
      <c r="A1" s="6" t="s">
        <v>158</v>
      </c>
    </row>
    <row r="2">
      <c r="B2" s="3" t="s">
        <v>160</v>
      </c>
      <c r="I2" s="8"/>
      <c r="J2" s="8"/>
      <c r="K2" s="8"/>
      <c r="L2" s="13" t="s">
        <v>17</v>
      </c>
      <c r="M2" s="16">
        <v>900.0</v>
      </c>
    </row>
    <row r="3">
      <c r="B3" s="9" t="s">
        <v>164</v>
      </c>
      <c r="C3" s="10"/>
      <c r="D3" s="10"/>
      <c r="E3" s="10"/>
      <c r="F3" s="10"/>
      <c r="G3" s="10"/>
      <c r="H3" s="12"/>
      <c r="I3" s="18"/>
      <c r="J3" s="18"/>
      <c r="K3" s="18"/>
      <c r="M3" s="20" t="s">
        <v>30</v>
      </c>
      <c r="N3" s="24"/>
      <c r="S3" s="26"/>
    </row>
    <row r="4">
      <c r="B4" s="27" t="s">
        <v>30</v>
      </c>
      <c r="C4" s="29" t="s">
        <v>77</v>
      </c>
      <c r="E4" s="26"/>
      <c r="F4" s="43" t="s">
        <v>108</v>
      </c>
      <c r="H4" s="26"/>
      <c r="I4" s="34"/>
      <c r="J4" s="36"/>
      <c r="K4" s="36"/>
      <c r="M4" s="20" t="s">
        <v>37</v>
      </c>
      <c r="N4" s="38">
        <v>45658.0</v>
      </c>
      <c r="S4" s="26"/>
    </row>
    <row r="5">
      <c r="B5" s="27" t="s">
        <v>37</v>
      </c>
      <c r="C5" s="38">
        <v>46023.0</v>
      </c>
      <c r="E5" s="26"/>
      <c r="F5" s="38">
        <v>46249.0</v>
      </c>
      <c r="H5" s="26"/>
      <c r="I5" s="42"/>
      <c r="J5" s="42"/>
      <c r="K5" s="42"/>
      <c r="M5" s="20" t="s">
        <v>42</v>
      </c>
      <c r="N5" s="44">
        <v>45833.0</v>
      </c>
      <c r="S5" s="26"/>
      <c r="Z5" s="6" t="s">
        <v>62</v>
      </c>
    </row>
    <row r="6">
      <c r="B6" s="27" t="s">
        <v>42</v>
      </c>
      <c r="C6" s="44">
        <v>46387.0</v>
      </c>
      <c r="E6" s="26"/>
      <c r="F6" s="44">
        <v>46643.0</v>
      </c>
      <c r="H6" s="26"/>
      <c r="I6" s="42"/>
      <c r="J6" s="42"/>
      <c r="K6" s="42"/>
      <c r="M6" s="20" t="s">
        <v>45</v>
      </c>
      <c r="N6" s="24"/>
      <c r="S6" s="26"/>
    </row>
    <row r="7">
      <c r="B7" s="27" t="s">
        <v>45</v>
      </c>
      <c r="C7" s="29">
        <v>450.0</v>
      </c>
      <c r="E7" s="26"/>
      <c r="F7" s="29">
        <v>450.0</v>
      </c>
      <c r="H7" s="26"/>
      <c r="I7" s="36"/>
      <c r="J7" s="36"/>
      <c r="K7" s="36"/>
    </row>
    <row r="8">
      <c r="B8" s="9" t="s">
        <v>182</v>
      </c>
      <c r="C8" s="10"/>
      <c r="D8" s="10"/>
      <c r="E8" s="10"/>
      <c r="F8" s="10"/>
      <c r="G8" s="10"/>
      <c r="H8" s="12"/>
      <c r="I8" s="18"/>
      <c r="J8" s="18"/>
      <c r="K8" s="18"/>
      <c r="M8" s="16">
        <v>600.0</v>
      </c>
    </row>
    <row r="9">
      <c r="B9" s="27" t="s">
        <v>30</v>
      </c>
      <c r="C9" s="29" t="s">
        <v>184</v>
      </c>
      <c r="E9" s="26"/>
      <c r="F9" s="33" t="s">
        <v>140</v>
      </c>
      <c r="H9" s="26"/>
      <c r="I9" s="34"/>
      <c r="J9" s="36"/>
      <c r="K9" s="36"/>
      <c r="M9" s="20" t="s">
        <v>30</v>
      </c>
      <c r="N9" s="24"/>
      <c r="Q9" s="26"/>
      <c r="R9" s="47"/>
      <c r="S9" s="26"/>
    </row>
    <row r="10">
      <c r="B10" s="27" t="s">
        <v>37</v>
      </c>
      <c r="C10" s="38">
        <v>46235.0</v>
      </c>
      <c r="E10" s="26"/>
      <c r="F10" s="38">
        <v>46246.0</v>
      </c>
      <c r="H10" s="26"/>
      <c r="I10" s="42"/>
      <c r="J10" s="42"/>
      <c r="K10" s="42"/>
      <c r="M10" s="20" t="s">
        <v>37</v>
      </c>
      <c r="N10" s="38">
        <v>45658.0</v>
      </c>
      <c r="Q10" s="26"/>
      <c r="R10" s="58">
        <v>45658.0</v>
      </c>
      <c r="S10" s="26"/>
    </row>
    <row r="11">
      <c r="B11" s="27" t="s">
        <v>42</v>
      </c>
      <c r="C11" s="44">
        <v>46387.0</v>
      </c>
      <c r="E11" s="26"/>
      <c r="F11" s="44">
        <v>46265.0</v>
      </c>
      <c r="H11" s="26"/>
      <c r="I11" s="42"/>
      <c r="J11" s="42"/>
      <c r="K11" s="42"/>
      <c r="M11" s="20" t="s">
        <v>42</v>
      </c>
      <c r="N11" s="44">
        <v>45658.0</v>
      </c>
      <c r="Q11" s="26"/>
      <c r="R11" s="46">
        <v>45658.0</v>
      </c>
      <c r="S11" s="26"/>
    </row>
    <row r="12">
      <c r="B12" s="27" t="s">
        <v>45</v>
      </c>
      <c r="C12" s="29">
        <v>450.0</v>
      </c>
      <c r="E12" s="26"/>
      <c r="F12" s="29">
        <v>300.0</v>
      </c>
      <c r="H12" s="26"/>
      <c r="I12" s="36"/>
      <c r="J12" s="36"/>
      <c r="K12" s="36"/>
      <c r="M12" s="20" t="s">
        <v>45</v>
      </c>
      <c r="N12" s="24"/>
      <c r="Q12" s="26"/>
      <c r="R12" s="47"/>
      <c r="S12" s="26"/>
    </row>
    <row r="13">
      <c r="B13" s="9" t="s">
        <v>194</v>
      </c>
      <c r="C13" s="10"/>
      <c r="D13" s="10"/>
      <c r="E13" s="10"/>
      <c r="F13" s="10"/>
      <c r="G13" s="10"/>
      <c r="H13" s="12"/>
      <c r="I13" s="18"/>
      <c r="J13" s="18"/>
      <c r="K13" s="18"/>
    </row>
    <row r="14">
      <c r="B14" s="27" t="s">
        <v>30</v>
      </c>
      <c r="C14" s="29" t="s">
        <v>200</v>
      </c>
      <c r="E14" s="26"/>
      <c r="F14" s="43" t="s">
        <v>165</v>
      </c>
      <c r="H14" s="26"/>
      <c r="I14" s="34"/>
      <c r="J14" s="36"/>
      <c r="K14" s="36"/>
      <c r="M14" s="16">
        <v>450.0</v>
      </c>
    </row>
    <row r="15">
      <c r="B15" s="27" t="s">
        <v>37</v>
      </c>
      <c r="C15" s="38">
        <v>46224.0</v>
      </c>
      <c r="E15" s="26"/>
      <c r="F15" s="38">
        <v>46245.0</v>
      </c>
      <c r="H15" s="26"/>
      <c r="I15" s="42"/>
      <c r="J15" s="42"/>
      <c r="K15" s="42"/>
      <c r="M15" s="20" t="s">
        <v>30</v>
      </c>
      <c r="N15" s="29" t="s">
        <v>158</v>
      </c>
      <c r="P15" s="26"/>
      <c r="Q15" s="47"/>
      <c r="S15" s="26"/>
    </row>
    <row r="16">
      <c r="B16" s="27" t="s">
        <v>42</v>
      </c>
      <c r="C16" s="44">
        <v>46253.0</v>
      </c>
      <c r="E16" s="26"/>
      <c r="F16" s="44">
        <v>46275.0</v>
      </c>
      <c r="H16" s="26"/>
      <c r="I16" s="42"/>
      <c r="J16" s="42"/>
      <c r="K16" s="42"/>
      <c r="M16" s="20" t="s">
        <v>37</v>
      </c>
      <c r="N16" s="38">
        <v>45658.0</v>
      </c>
      <c r="P16" s="26"/>
      <c r="Q16" s="58">
        <v>45658.0</v>
      </c>
      <c r="S16" s="26"/>
    </row>
    <row r="17">
      <c r="B17" s="27" t="s">
        <v>45</v>
      </c>
      <c r="C17" s="29">
        <v>450.0</v>
      </c>
      <c r="E17" s="26"/>
      <c r="F17" s="29">
        <v>450.0</v>
      </c>
      <c r="H17" s="26"/>
      <c r="I17" s="36"/>
      <c r="J17" s="68" t="s">
        <v>208</v>
      </c>
      <c r="K17" s="36"/>
      <c r="M17" s="20" t="s">
        <v>42</v>
      </c>
      <c r="N17" s="44">
        <v>45658.0</v>
      </c>
      <c r="P17" s="26"/>
      <c r="Q17" s="46">
        <v>45658.0</v>
      </c>
      <c r="S17" s="26"/>
    </row>
    <row r="18">
      <c r="B18" s="9" t="s">
        <v>209</v>
      </c>
      <c r="C18" s="10"/>
      <c r="D18" s="10"/>
      <c r="E18" s="10"/>
      <c r="F18" s="10"/>
      <c r="G18" s="10"/>
      <c r="H18" s="12"/>
      <c r="I18" s="18"/>
      <c r="J18" s="18"/>
      <c r="K18" s="18"/>
      <c r="M18" s="20" t="s">
        <v>45</v>
      </c>
      <c r="N18" s="24"/>
      <c r="P18" s="26"/>
      <c r="Q18" s="47"/>
      <c r="S18" s="26"/>
    </row>
    <row r="19">
      <c r="B19" s="27" t="s">
        <v>30</v>
      </c>
      <c r="C19" s="90"/>
      <c r="E19" s="26"/>
      <c r="F19" s="43"/>
      <c r="H19" s="26"/>
      <c r="I19" s="34"/>
      <c r="J19" s="36"/>
      <c r="K19" s="36"/>
    </row>
    <row r="20">
      <c r="B20" s="27" t="s">
        <v>37</v>
      </c>
      <c r="C20" s="38"/>
      <c r="E20" s="26"/>
      <c r="F20" s="58"/>
      <c r="H20" s="26"/>
      <c r="I20" s="42"/>
      <c r="J20" s="42"/>
      <c r="K20" s="42"/>
      <c r="M20" s="16">
        <v>300.0</v>
      </c>
    </row>
    <row r="21">
      <c r="B21" s="27" t="s">
        <v>42</v>
      </c>
      <c r="C21" s="44"/>
      <c r="E21" s="26"/>
      <c r="F21" s="46"/>
      <c r="H21" s="26"/>
      <c r="I21" s="42"/>
      <c r="J21" s="42"/>
      <c r="K21" s="42"/>
      <c r="M21" s="20" t="s">
        <v>30</v>
      </c>
      <c r="N21" s="24"/>
      <c r="O21" s="26"/>
      <c r="P21" s="47"/>
      <c r="Q21" s="26"/>
      <c r="R21" s="47"/>
      <c r="S21" s="26"/>
    </row>
    <row r="22">
      <c r="B22" s="27" t="s">
        <v>45</v>
      </c>
      <c r="C22" s="49"/>
      <c r="D22" s="53"/>
      <c r="E22" s="52"/>
      <c r="F22" s="43"/>
      <c r="H22" s="26"/>
      <c r="I22" s="36"/>
      <c r="J22" s="36"/>
      <c r="K22" s="36"/>
      <c r="M22" s="20" t="s">
        <v>37</v>
      </c>
      <c r="N22" s="38">
        <v>45658.0</v>
      </c>
      <c r="O22" s="26"/>
      <c r="P22" s="58">
        <v>45658.0</v>
      </c>
      <c r="Q22" s="26"/>
      <c r="R22" s="58">
        <v>45658.0</v>
      </c>
      <c r="S22" s="26"/>
    </row>
    <row r="23">
      <c r="B23" s="9" t="s">
        <v>217</v>
      </c>
      <c r="C23" s="10"/>
      <c r="D23" s="10"/>
      <c r="E23" s="10"/>
      <c r="F23" s="10"/>
      <c r="G23" s="10"/>
      <c r="H23" s="12"/>
      <c r="I23" s="18"/>
      <c r="J23" s="18"/>
      <c r="K23" s="18"/>
      <c r="M23" s="20" t="s">
        <v>42</v>
      </c>
      <c r="N23" s="44">
        <v>45658.0</v>
      </c>
      <c r="O23" s="26"/>
      <c r="P23" s="46">
        <v>45658.0</v>
      </c>
      <c r="Q23" s="26"/>
      <c r="R23" s="46">
        <v>45658.0</v>
      </c>
      <c r="S23" s="26"/>
    </row>
    <row r="24">
      <c r="B24" s="27" t="s">
        <v>30</v>
      </c>
      <c r="C24" s="29"/>
      <c r="D24" s="26"/>
      <c r="E24" s="43" t="s">
        <v>132</v>
      </c>
      <c r="F24" s="26"/>
      <c r="G24" s="57"/>
      <c r="H24" s="26"/>
      <c r="I24" s="34"/>
      <c r="J24" s="36"/>
      <c r="K24" s="36"/>
      <c r="M24" s="20" t="s">
        <v>45</v>
      </c>
      <c r="N24" s="24"/>
      <c r="O24" s="26"/>
      <c r="P24" s="47"/>
      <c r="Q24" s="26"/>
      <c r="R24" s="47"/>
      <c r="S24" s="26"/>
    </row>
    <row r="25">
      <c r="B25" s="27" t="s">
        <v>37</v>
      </c>
      <c r="C25" s="38"/>
      <c r="D25" s="26"/>
      <c r="E25" s="58">
        <v>46181.0</v>
      </c>
      <c r="F25" s="26"/>
      <c r="G25" s="58"/>
      <c r="H25" s="26"/>
      <c r="I25" s="36"/>
      <c r="J25" s="36"/>
      <c r="K25" s="36"/>
    </row>
    <row r="26">
      <c r="B26" s="27" t="s">
        <v>42</v>
      </c>
      <c r="C26" s="44"/>
      <c r="D26" s="26"/>
      <c r="E26" s="46">
        <v>46394.0</v>
      </c>
      <c r="F26" s="26"/>
      <c r="G26" s="46"/>
      <c r="H26" s="26"/>
      <c r="I26" s="36"/>
      <c r="J26" s="36"/>
      <c r="K26" s="36"/>
      <c r="L26" s="71"/>
    </row>
    <row r="27">
      <c r="B27" s="27" t="s">
        <v>45</v>
      </c>
      <c r="C27" s="29"/>
      <c r="D27" s="26"/>
      <c r="E27" s="43">
        <v>300.0</v>
      </c>
      <c r="F27" s="26"/>
      <c r="G27" s="43"/>
      <c r="H27" s="26"/>
      <c r="I27" s="36"/>
      <c r="J27" s="36"/>
      <c r="K27" s="36"/>
      <c r="L27" s="71"/>
    </row>
    <row r="28">
      <c r="B28" s="9" t="s">
        <v>224</v>
      </c>
      <c r="C28" s="10"/>
      <c r="D28" s="10"/>
      <c r="E28" s="10"/>
      <c r="F28" s="10"/>
      <c r="G28" s="10"/>
      <c r="H28" s="12"/>
      <c r="I28" s="18"/>
      <c r="J28" s="18"/>
      <c r="K28" s="18"/>
      <c r="L28" s="71"/>
    </row>
    <row r="29">
      <c r="B29" s="27" t="s">
        <v>30</v>
      </c>
      <c r="C29" s="29" t="s">
        <v>158</v>
      </c>
      <c r="E29" s="26"/>
      <c r="F29" s="47"/>
      <c r="H29" s="26"/>
      <c r="I29" s="34"/>
      <c r="J29" s="36"/>
      <c r="K29" s="36"/>
      <c r="L29" s="71"/>
    </row>
    <row r="30">
      <c r="B30" s="27" t="s">
        <v>37</v>
      </c>
      <c r="C30" s="38"/>
      <c r="E30" s="26"/>
      <c r="F30" s="58"/>
      <c r="H30" s="26"/>
      <c r="I30" s="36"/>
      <c r="J30" s="36"/>
      <c r="K30" s="36"/>
      <c r="L30" s="71"/>
    </row>
    <row r="31">
      <c r="B31" s="27" t="s">
        <v>42</v>
      </c>
      <c r="C31" s="44"/>
      <c r="E31" s="26"/>
      <c r="F31" s="46"/>
      <c r="H31" s="26"/>
      <c r="I31" s="36"/>
      <c r="J31" s="36"/>
      <c r="K31" s="36"/>
      <c r="L31" s="71"/>
    </row>
    <row r="32">
      <c r="B32" s="27" t="s">
        <v>45</v>
      </c>
      <c r="C32" s="24"/>
      <c r="E32" s="26"/>
      <c r="F32" s="47"/>
      <c r="H32" s="26"/>
      <c r="I32" s="36"/>
      <c r="J32" s="36"/>
      <c r="K32" s="36"/>
      <c r="L32" s="71"/>
    </row>
    <row r="33">
      <c r="B33" s="9" t="s">
        <v>230</v>
      </c>
      <c r="C33" s="10"/>
      <c r="D33" s="10"/>
      <c r="E33" s="10"/>
      <c r="F33" s="10"/>
      <c r="G33" s="10"/>
      <c r="H33" s="12"/>
      <c r="I33" s="18"/>
      <c r="J33" s="18"/>
      <c r="K33" s="18"/>
      <c r="L33" s="71"/>
    </row>
    <row r="34">
      <c r="B34" s="27" t="s">
        <v>30</v>
      </c>
      <c r="C34" s="29"/>
      <c r="E34" s="26"/>
      <c r="F34" s="47"/>
      <c r="H34" s="26"/>
      <c r="I34" s="34"/>
      <c r="J34" s="36"/>
      <c r="K34" s="36"/>
      <c r="L34" s="71"/>
    </row>
    <row r="35">
      <c r="B35" s="27" t="s">
        <v>37</v>
      </c>
      <c r="C35" s="38"/>
      <c r="E35" s="26"/>
      <c r="F35" s="58"/>
      <c r="H35" s="26"/>
      <c r="I35" s="91">
        <v>46172.0</v>
      </c>
      <c r="J35" s="36"/>
      <c r="K35" s="36"/>
      <c r="L35" s="71"/>
    </row>
    <row r="36">
      <c r="B36" s="27" t="s">
        <v>42</v>
      </c>
      <c r="C36" s="44"/>
      <c r="E36" s="26"/>
      <c r="F36" s="46"/>
      <c r="H36" s="26"/>
      <c r="I36" s="36"/>
      <c r="J36" s="36"/>
      <c r="K36" s="36"/>
      <c r="L36" s="71"/>
    </row>
    <row r="37">
      <c r="B37" s="27" t="s">
        <v>45</v>
      </c>
      <c r="C37" s="29"/>
      <c r="E37" s="26"/>
      <c r="F37" s="47"/>
      <c r="H37" s="26"/>
      <c r="I37" s="36"/>
      <c r="J37" s="36"/>
      <c r="K37" s="36"/>
      <c r="L37" s="71"/>
    </row>
    <row r="38">
      <c r="B38" s="9" t="s">
        <v>237</v>
      </c>
      <c r="C38" s="10"/>
      <c r="D38" s="10"/>
      <c r="E38" s="10"/>
      <c r="F38" s="10"/>
      <c r="G38" s="10"/>
      <c r="H38" s="12"/>
      <c r="I38" s="18"/>
      <c r="J38" s="18"/>
      <c r="K38" s="18"/>
      <c r="L38" s="71"/>
    </row>
    <row r="39">
      <c r="B39" s="27" t="s">
        <v>30</v>
      </c>
      <c r="C39" s="29" t="s">
        <v>239</v>
      </c>
      <c r="D39" s="26"/>
      <c r="E39" s="43" t="s">
        <v>240</v>
      </c>
      <c r="F39" s="26"/>
      <c r="G39" s="47"/>
      <c r="H39" s="26"/>
      <c r="I39" s="34"/>
      <c r="J39" s="36"/>
      <c r="K39" s="36"/>
      <c r="L39" s="71"/>
    </row>
    <row r="40">
      <c r="B40" s="27" t="s">
        <v>37</v>
      </c>
      <c r="C40" s="38">
        <v>46235.0</v>
      </c>
      <c r="D40" s="26"/>
      <c r="E40" s="58">
        <v>46235.0</v>
      </c>
      <c r="F40" s="26"/>
      <c r="G40" s="58"/>
      <c r="H40" s="26"/>
      <c r="I40" s="36"/>
      <c r="J40" s="36"/>
      <c r="K40" s="36"/>
      <c r="L40" s="71"/>
    </row>
    <row r="41">
      <c r="B41" s="27" t="s">
        <v>42</v>
      </c>
      <c r="C41" s="44">
        <v>46265.0</v>
      </c>
      <c r="D41" s="26"/>
      <c r="E41" s="46">
        <v>46265.0</v>
      </c>
      <c r="F41" s="26"/>
      <c r="G41" s="46"/>
      <c r="H41" s="26"/>
      <c r="I41" s="36"/>
      <c r="J41" s="36"/>
      <c r="K41" s="36"/>
      <c r="L41" s="71"/>
    </row>
    <row r="42">
      <c r="B42" s="27" t="s">
        <v>45</v>
      </c>
      <c r="C42" s="29">
        <v>300.0</v>
      </c>
      <c r="D42" s="26"/>
      <c r="E42" s="43">
        <v>300.0</v>
      </c>
      <c r="F42" s="26"/>
      <c r="G42" s="47"/>
      <c r="H42" s="26"/>
      <c r="I42" s="36"/>
      <c r="J42" s="36"/>
      <c r="K42" s="36"/>
      <c r="L42" s="71"/>
    </row>
    <row r="43">
      <c r="B43" s="9" t="s">
        <v>243</v>
      </c>
      <c r="C43" s="10"/>
      <c r="D43" s="10"/>
      <c r="E43" s="10"/>
      <c r="F43" s="10"/>
      <c r="G43" s="10"/>
      <c r="H43" s="12"/>
      <c r="I43" s="18"/>
      <c r="J43" s="18"/>
      <c r="K43" s="18"/>
      <c r="L43" s="71"/>
    </row>
    <row r="44">
      <c r="B44" s="27" t="s">
        <v>30</v>
      </c>
      <c r="C44" s="29" t="s">
        <v>158</v>
      </c>
      <c r="E44" s="26"/>
      <c r="F44" s="47"/>
      <c r="H44" s="26"/>
      <c r="I44" s="34"/>
      <c r="J44" s="36"/>
      <c r="K44" s="36"/>
      <c r="L44" s="71"/>
    </row>
    <row r="45">
      <c r="B45" s="27" t="s">
        <v>37</v>
      </c>
      <c r="C45" s="38"/>
      <c r="E45" s="26"/>
      <c r="F45" s="58"/>
      <c r="H45" s="26"/>
      <c r="I45" s="36"/>
      <c r="J45" s="36"/>
      <c r="K45" s="36"/>
      <c r="L45" s="71"/>
    </row>
    <row r="46">
      <c r="B46" s="27" t="s">
        <v>42</v>
      </c>
      <c r="C46" s="44"/>
      <c r="E46" s="26"/>
      <c r="F46" s="46"/>
      <c r="H46" s="26"/>
      <c r="I46" s="36"/>
      <c r="J46" s="36"/>
      <c r="K46" s="36"/>
      <c r="L46" s="71"/>
    </row>
    <row r="47">
      <c r="B47" s="27" t="s">
        <v>45</v>
      </c>
      <c r="C47" s="24"/>
      <c r="E47" s="26"/>
      <c r="F47" s="47"/>
      <c r="H47" s="26"/>
      <c r="I47" s="36"/>
      <c r="J47" s="36"/>
      <c r="K47" s="36"/>
      <c r="L47" s="71"/>
    </row>
    <row r="48">
      <c r="B48" s="9" t="s">
        <v>248</v>
      </c>
      <c r="C48" s="10"/>
      <c r="D48" s="10"/>
      <c r="E48" s="10"/>
      <c r="F48" s="10"/>
      <c r="G48" s="10"/>
      <c r="H48" s="12"/>
      <c r="I48" s="18"/>
      <c r="J48" s="18"/>
      <c r="K48" s="18"/>
      <c r="L48" s="71"/>
    </row>
    <row r="49">
      <c r="B49" s="40" t="s">
        <v>30</v>
      </c>
      <c r="C49" s="29" t="s">
        <v>250</v>
      </c>
      <c r="E49" s="26"/>
      <c r="F49" s="33" t="s">
        <v>138</v>
      </c>
      <c r="H49" s="26"/>
      <c r="I49" s="34"/>
      <c r="J49" s="36"/>
      <c r="K49" s="36"/>
      <c r="L49" s="71"/>
    </row>
    <row r="50">
      <c r="B50" s="40" t="s">
        <v>37</v>
      </c>
      <c r="C50" s="78">
        <v>46233.0</v>
      </c>
      <c r="E50" s="26"/>
      <c r="F50" s="78">
        <v>46230.0</v>
      </c>
      <c r="H50" s="26"/>
      <c r="I50" s="36"/>
      <c r="J50" s="36"/>
      <c r="K50" s="36"/>
      <c r="L50" s="71"/>
    </row>
    <row r="51">
      <c r="B51" s="40" t="s">
        <v>42</v>
      </c>
      <c r="C51" s="79">
        <v>46243.0</v>
      </c>
      <c r="E51" s="26"/>
      <c r="F51" s="79">
        <v>46260.0</v>
      </c>
      <c r="H51" s="26"/>
      <c r="I51" s="36"/>
      <c r="J51" s="36"/>
      <c r="K51" s="36"/>
      <c r="L51" s="71"/>
    </row>
    <row r="52">
      <c r="B52" s="48" t="s">
        <v>45</v>
      </c>
      <c r="C52" s="49">
        <v>300.0</v>
      </c>
      <c r="D52" s="53"/>
      <c r="E52" s="52"/>
      <c r="F52" s="49">
        <v>450.0</v>
      </c>
      <c r="G52" s="53"/>
      <c r="H52" s="52"/>
      <c r="I52" s="36"/>
      <c r="J52" s="36"/>
      <c r="K52" s="36"/>
      <c r="L52" s="71"/>
    </row>
    <row r="53">
      <c r="I53" s="36"/>
      <c r="J53" s="36"/>
      <c r="K53" s="36"/>
      <c r="L53" s="71"/>
    </row>
    <row r="54">
      <c r="B54" s="3" t="s">
        <v>186</v>
      </c>
      <c r="G54" s="3" t="str">
        <f>SUM(C7,C12,C17,G17,C22,F22,#REF!,F27,C32,F32,C37,G37,C42,F42,C47,C27,G52,C52,C61,F61)</f>
        <v>#REF!</v>
      </c>
      <c r="I54" s="36"/>
      <c r="J54" s="36"/>
      <c r="K54" s="36"/>
      <c r="L54" s="71"/>
    </row>
    <row r="55">
      <c r="I55" s="36"/>
      <c r="J55" s="36"/>
      <c r="K55" s="36"/>
    </row>
  </sheetData>
  <mergeCells count="138">
    <mergeCell ref="C4:E4"/>
    <mergeCell ref="C5:E5"/>
    <mergeCell ref="N4:S4"/>
    <mergeCell ref="N5:S5"/>
    <mergeCell ref="C6:E6"/>
    <mergeCell ref="F6:H6"/>
    <mergeCell ref="F5:H5"/>
    <mergeCell ref="C7:E7"/>
    <mergeCell ref="F7:H7"/>
    <mergeCell ref="C9:E9"/>
    <mergeCell ref="F9:H9"/>
    <mergeCell ref="N9:Q9"/>
    <mergeCell ref="R9:S9"/>
    <mergeCell ref="C10:E10"/>
    <mergeCell ref="F10:H10"/>
    <mergeCell ref="B8:H8"/>
    <mergeCell ref="M8:S8"/>
    <mergeCell ref="N10:Q10"/>
    <mergeCell ref="R10:S10"/>
    <mergeCell ref="C11:E11"/>
    <mergeCell ref="F11:H11"/>
    <mergeCell ref="N11:Q11"/>
    <mergeCell ref="R11:S11"/>
    <mergeCell ref="C12:E12"/>
    <mergeCell ref="F12:H12"/>
    <mergeCell ref="N12:Q12"/>
    <mergeCell ref="R12:S12"/>
    <mergeCell ref="B13:H13"/>
    <mergeCell ref="C14:E14"/>
    <mergeCell ref="F14:H14"/>
    <mergeCell ref="M14:S14"/>
    <mergeCell ref="C15:E15"/>
    <mergeCell ref="F15:H15"/>
    <mergeCell ref="N15:P15"/>
    <mergeCell ref="Q15:S15"/>
    <mergeCell ref="C16:E16"/>
    <mergeCell ref="F16:H16"/>
    <mergeCell ref="N16:P16"/>
    <mergeCell ref="Q16:S16"/>
    <mergeCell ref="C17:E17"/>
    <mergeCell ref="F17:H17"/>
    <mergeCell ref="N17:P17"/>
    <mergeCell ref="Q17:S17"/>
    <mergeCell ref="B18:H18"/>
    <mergeCell ref="N18:P18"/>
    <mergeCell ref="C20:E20"/>
    <mergeCell ref="F20:H20"/>
    <mergeCell ref="Q18:S18"/>
    <mergeCell ref="C19:E19"/>
    <mergeCell ref="F19:H19"/>
    <mergeCell ref="M20:S20"/>
    <mergeCell ref="C21:E21"/>
    <mergeCell ref="F21:H21"/>
    <mergeCell ref="N21:O21"/>
    <mergeCell ref="P21:Q21"/>
    <mergeCell ref="R21:S21"/>
    <mergeCell ref="C22:E22"/>
    <mergeCell ref="F22:H22"/>
    <mergeCell ref="N22:O22"/>
    <mergeCell ref="P22:Q22"/>
    <mergeCell ref="C24:D24"/>
    <mergeCell ref="E24:F24"/>
    <mergeCell ref="G24:H24"/>
    <mergeCell ref="N24:O24"/>
    <mergeCell ref="P24:Q24"/>
    <mergeCell ref="R24:S24"/>
    <mergeCell ref="E42:F42"/>
    <mergeCell ref="G42:H42"/>
    <mergeCell ref="C40:D40"/>
    <mergeCell ref="E40:F40"/>
    <mergeCell ref="G40:H40"/>
    <mergeCell ref="C41:D41"/>
    <mergeCell ref="E41:F41"/>
    <mergeCell ref="G41:H41"/>
    <mergeCell ref="C42:D42"/>
    <mergeCell ref="B43:H43"/>
    <mergeCell ref="C44:E44"/>
    <mergeCell ref="F44:H44"/>
    <mergeCell ref="C45:E45"/>
    <mergeCell ref="F45:H45"/>
    <mergeCell ref="C46:E46"/>
    <mergeCell ref="F46:H46"/>
    <mergeCell ref="C51:E51"/>
    <mergeCell ref="F51:H51"/>
    <mergeCell ref="C52:E52"/>
    <mergeCell ref="F52:H52"/>
    <mergeCell ref="B54:F54"/>
    <mergeCell ref="G54:H54"/>
    <mergeCell ref="C47:E47"/>
    <mergeCell ref="F47:H47"/>
    <mergeCell ref="B48:H48"/>
    <mergeCell ref="C49:E49"/>
    <mergeCell ref="F49:H49"/>
    <mergeCell ref="C50:E50"/>
    <mergeCell ref="F50:H50"/>
    <mergeCell ref="R22:S22"/>
    <mergeCell ref="B23:H23"/>
    <mergeCell ref="N23:O23"/>
    <mergeCell ref="P23:Q23"/>
    <mergeCell ref="R23:S23"/>
    <mergeCell ref="B2:H2"/>
    <mergeCell ref="L2:L25"/>
    <mergeCell ref="M2:S2"/>
    <mergeCell ref="B3:H3"/>
    <mergeCell ref="N3:S3"/>
    <mergeCell ref="F4:H4"/>
    <mergeCell ref="N6:S6"/>
    <mergeCell ref="G25:H25"/>
    <mergeCell ref="C25:D25"/>
    <mergeCell ref="E25:F25"/>
    <mergeCell ref="C26:D26"/>
    <mergeCell ref="E26:F26"/>
    <mergeCell ref="G26:H26"/>
    <mergeCell ref="C27:D27"/>
    <mergeCell ref="E27:F27"/>
    <mergeCell ref="G27:H27"/>
    <mergeCell ref="B28:H28"/>
    <mergeCell ref="C29:E29"/>
    <mergeCell ref="F29:H29"/>
    <mergeCell ref="C30:E30"/>
    <mergeCell ref="F30:H30"/>
    <mergeCell ref="F31:H31"/>
    <mergeCell ref="C31:E31"/>
    <mergeCell ref="C32:E32"/>
    <mergeCell ref="F32:H32"/>
    <mergeCell ref="B33:H33"/>
    <mergeCell ref="C34:E34"/>
    <mergeCell ref="F34:H34"/>
    <mergeCell ref="F35:H35"/>
    <mergeCell ref="E39:F39"/>
    <mergeCell ref="G39:H39"/>
    <mergeCell ref="C35:E35"/>
    <mergeCell ref="C36:E36"/>
    <mergeCell ref="F36:H36"/>
    <mergeCell ref="C37:E37"/>
    <mergeCell ref="F37:H37"/>
    <mergeCell ref="B38:H38"/>
    <mergeCell ref="C39:D39"/>
  </mergeCells>
  <conditionalFormatting sqref="C51:H51">
    <cfRule type="cellIs" dxfId="0" priority="1" operator="lessThanOrEqual">
      <formula>TODAY()-1</formula>
    </cfRule>
  </conditionalFormatting>
  <conditionalFormatting sqref="F9 C14 F14 C29 F44">
    <cfRule type="expression" dxfId="1" priority="2">
      <formula>$L9=TRUE</formula>
    </cfRule>
  </conditionalFormatting>
  <conditionalFormatting sqref="N5 C6 E6:H6 C11 E11:H11 N11 R11 C16:H16 N17 P17:R17 C21:H21 N23 P23 R23 C26:H26 C31 E31:H31 C36:H36 C41:H41 C46:H46 C51:H51">
    <cfRule type="cellIs" dxfId="2" priority="3" operator="lessThanOrEqual">
      <formula>TODAY()-1</formula>
    </cfRule>
  </conditionalFormatting>
  <conditionalFormatting sqref="N5 C6 E6:H6 C11 E11:H11 N11 R11 C16:H16 N17 P17:R17 C21 F21:H21 N23 P23 R23 C26:H26 C31 E31:H31 C36:H36 C41 E41:H41 C46:H46 C51:H51">
    <cfRule type="cellIs" dxfId="3" priority="4" operator="lessThanOrEqual">
      <formula>TODAY()</formula>
    </cfRule>
  </conditionalFormatting>
  <conditionalFormatting sqref="N5 C6 E6:H6 C11 E11:H11 N11 R11 C16:H16 N17 P17:R17 C21 F21:G21 N23 P23 R23 C26:H26 C31 E31:G31 C36:H36 C41 E41:H41 C46:H46 C51:H51">
    <cfRule type="cellIs" dxfId="4" priority="5" operator="lessThanOrEqual">
      <formula>TODAY()+3</formula>
    </cfRule>
  </conditionalFormatting>
  <conditionalFormatting sqref="N5 C6 E6:H6 C11 E11:H11 N11 R11 C16:H16 N17 P17:R17 C21 F21:G21 N23 P23 R23 C26:H26 C31 E31:G31 C36:H36 C41 E41:H41 C46:H46 C51:H51">
    <cfRule type="cellIs" dxfId="5" priority="6" operator="lessThanOrEqual">
      <formula>TODAY()+8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9.38"/>
    <col customWidth="1" min="3" max="3" width="6.5"/>
    <col customWidth="1" min="4" max="4" width="11.88"/>
    <col customWidth="1" min="5" max="5" width="6.0"/>
    <col customWidth="1" min="6" max="6" width="10.5"/>
    <col customWidth="1" min="7" max="7" width="6.0"/>
    <col customWidth="1" min="8" max="8" width="9.88"/>
    <col customWidth="1" min="9" max="9" width="5.63"/>
    <col customWidth="1" min="10" max="10" width="7.0"/>
    <col customWidth="1" min="11" max="11" width="8.25"/>
    <col customWidth="1" min="12" max="12" width="4.5"/>
    <col customWidth="1" min="13" max="13" width="8.88" outlineLevel="1"/>
    <col customWidth="1" min="14" max="14" width="3.88" outlineLevel="1"/>
    <col customWidth="1" min="15" max="15" width="6.88" outlineLevel="1"/>
    <col customWidth="1" min="16" max="16" width="6.0" outlineLevel="1"/>
    <col customWidth="1" min="17" max="17" width="7.38" outlineLevel="1"/>
    <col customWidth="1" min="18" max="18" width="5.63" outlineLevel="1"/>
    <col customWidth="1" min="19" max="19" width="5.0" outlineLevel="1"/>
  </cols>
  <sheetData>
    <row r="2">
      <c r="B2" s="3" t="s">
        <v>317</v>
      </c>
      <c r="I2" s="8"/>
      <c r="J2" s="8"/>
      <c r="K2" s="8"/>
      <c r="L2" s="13" t="s">
        <v>17</v>
      </c>
      <c r="M2" s="16">
        <v>900.0</v>
      </c>
    </row>
    <row r="3">
      <c r="B3" s="9" t="s">
        <v>321</v>
      </c>
      <c r="C3" s="10"/>
      <c r="D3" s="10"/>
      <c r="E3" s="10"/>
      <c r="F3" s="10"/>
      <c r="G3" s="10"/>
      <c r="H3" s="12"/>
      <c r="I3" s="18"/>
      <c r="J3" s="18"/>
      <c r="K3" s="18"/>
      <c r="M3" s="20" t="s">
        <v>30</v>
      </c>
      <c r="N3" s="24"/>
      <c r="S3" s="26"/>
    </row>
    <row r="4">
      <c r="B4" s="27" t="s">
        <v>30</v>
      </c>
      <c r="C4" s="29"/>
      <c r="D4" s="26"/>
      <c r="E4" s="29"/>
      <c r="F4" s="26"/>
      <c r="G4" s="43"/>
      <c r="H4" s="26"/>
      <c r="I4" s="34"/>
      <c r="J4" s="36"/>
      <c r="K4" s="36"/>
      <c r="M4" s="20" t="s">
        <v>37</v>
      </c>
      <c r="N4" s="38">
        <v>45658.0</v>
      </c>
      <c r="S4" s="26"/>
    </row>
    <row r="5">
      <c r="B5" s="27" t="s">
        <v>37</v>
      </c>
      <c r="C5" s="38"/>
      <c r="D5" s="26"/>
      <c r="E5" s="38"/>
      <c r="F5" s="26"/>
      <c r="G5" s="58"/>
      <c r="H5" s="26"/>
      <c r="I5" s="42"/>
      <c r="J5" s="42"/>
      <c r="K5" s="42"/>
      <c r="M5" s="20" t="s">
        <v>42</v>
      </c>
      <c r="N5" s="44">
        <v>45658.0</v>
      </c>
      <c r="S5" s="26"/>
      <c r="Z5" s="6" t="s">
        <v>62</v>
      </c>
    </row>
    <row r="6">
      <c r="B6" s="27" t="s">
        <v>42</v>
      </c>
      <c r="C6" s="44"/>
      <c r="D6" s="26"/>
      <c r="E6" s="44"/>
      <c r="F6" s="26"/>
      <c r="G6" s="44"/>
      <c r="H6" s="26"/>
      <c r="I6" s="42"/>
      <c r="J6" s="42"/>
      <c r="K6" s="42"/>
      <c r="M6" s="20" t="s">
        <v>45</v>
      </c>
      <c r="N6" s="24"/>
      <c r="S6" s="26"/>
    </row>
    <row r="7">
      <c r="B7" s="27" t="s">
        <v>45</v>
      </c>
      <c r="C7" s="29"/>
      <c r="D7" s="26"/>
      <c r="E7" s="29"/>
      <c r="F7" s="26"/>
      <c r="G7" s="47"/>
      <c r="H7" s="26"/>
      <c r="I7" s="36"/>
      <c r="J7" s="36"/>
      <c r="K7" s="36"/>
    </row>
    <row r="8">
      <c r="B8" s="9" t="s">
        <v>333</v>
      </c>
      <c r="C8" s="10"/>
      <c r="D8" s="10"/>
      <c r="E8" s="10"/>
      <c r="F8" s="10"/>
      <c r="G8" s="10"/>
      <c r="H8" s="12"/>
      <c r="I8" s="18"/>
      <c r="J8" s="18"/>
      <c r="K8" s="18"/>
      <c r="M8" s="16">
        <v>600.0</v>
      </c>
    </row>
    <row r="9">
      <c r="B9" s="27" t="s">
        <v>30</v>
      </c>
      <c r="C9" s="29" t="s">
        <v>108</v>
      </c>
      <c r="E9" s="26"/>
      <c r="F9" s="103" t="s">
        <v>32</v>
      </c>
      <c r="H9" s="26"/>
      <c r="I9" s="34"/>
      <c r="J9" s="36"/>
      <c r="K9" s="36"/>
      <c r="M9" s="20" t="s">
        <v>30</v>
      </c>
      <c r="N9" s="24"/>
      <c r="Q9" s="26"/>
      <c r="R9" s="47"/>
      <c r="S9" s="26"/>
    </row>
    <row r="10">
      <c r="B10" s="27" t="s">
        <v>37</v>
      </c>
      <c r="C10" s="38">
        <v>46249.0</v>
      </c>
      <c r="E10" s="26"/>
      <c r="F10" s="38">
        <v>46023.0</v>
      </c>
      <c r="H10" s="26"/>
      <c r="I10" s="42"/>
      <c r="J10" s="68" t="s">
        <v>158</v>
      </c>
      <c r="K10" s="42"/>
      <c r="M10" s="20" t="s">
        <v>37</v>
      </c>
      <c r="N10" s="38">
        <v>45658.0</v>
      </c>
      <c r="Q10" s="26"/>
      <c r="R10" s="58">
        <v>45658.0</v>
      </c>
      <c r="S10" s="26"/>
    </row>
    <row r="11">
      <c r="B11" s="27" t="s">
        <v>42</v>
      </c>
      <c r="C11" s="44">
        <v>46643.0</v>
      </c>
      <c r="E11" s="26"/>
      <c r="F11" s="44">
        <v>46387.0</v>
      </c>
      <c r="H11" s="26"/>
      <c r="I11" s="42"/>
      <c r="J11" s="42"/>
      <c r="K11" s="42"/>
      <c r="M11" s="20" t="s">
        <v>42</v>
      </c>
      <c r="N11" s="44">
        <v>45658.0</v>
      </c>
      <c r="Q11" s="26"/>
      <c r="R11" s="44">
        <v>45658.0</v>
      </c>
      <c r="S11" s="26"/>
    </row>
    <row r="12">
      <c r="B12" s="27" t="s">
        <v>45</v>
      </c>
      <c r="C12" s="29">
        <v>450.0</v>
      </c>
      <c r="E12" s="26"/>
      <c r="F12" s="29">
        <v>450.0</v>
      </c>
      <c r="H12" s="26"/>
      <c r="I12" s="36"/>
      <c r="J12" s="36"/>
      <c r="K12" s="36"/>
      <c r="M12" s="20" t="s">
        <v>45</v>
      </c>
      <c r="N12" s="24"/>
      <c r="Q12" s="26"/>
      <c r="R12" s="47"/>
      <c r="S12" s="26"/>
    </row>
    <row r="13">
      <c r="B13" s="9" t="s">
        <v>346</v>
      </c>
      <c r="C13" s="10"/>
      <c r="D13" s="10"/>
      <c r="E13" s="10"/>
      <c r="F13" s="10"/>
      <c r="G13" s="10"/>
      <c r="H13" s="12"/>
      <c r="I13" s="18"/>
      <c r="J13" s="18"/>
      <c r="K13" s="18"/>
    </row>
    <row r="14">
      <c r="B14" s="27" t="s">
        <v>30</v>
      </c>
      <c r="C14" s="33"/>
      <c r="E14" s="26"/>
      <c r="F14" s="29" t="s">
        <v>131</v>
      </c>
      <c r="H14" s="26"/>
      <c r="I14" s="34"/>
      <c r="J14" s="36"/>
      <c r="K14" s="36"/>
      <c r="M14" s="16">
        <v>450.0</v>
      </c>
    </row>
    <row r="15">
      <c r="B15" s="27" t="s">
        <v>37</v>
      </c>
      <c r="C15" s="38"/>
      <c r="E15" s="26"/>
      <c r="F15" s="38">
        <v>46204.0</v>
      </c>
      <c r="H15" s="26"/>
      <c r="I15" s="42"/>
      <c r="J15" s="42"/>
      <c r="K15" s="42"/>
      <c r="M15" s="20" t="s">
        <v>30</v>
      </c>
      <c r="N15" s="24"/>
      <c r="P15" s="26"/>
      <c r="Q15" s="47"/>
      <c r="S15" s="26"/>
    </row>
    <row r="16">
      <c r="B16" s="27" t="s">
        <v>42</v>
      </c>
      <c r="C16" s="44"/>
      <c r="E16" s="26"/>
      <c r="F16" s="44">
        <v>46295.0</v>
      </c>
      <c r="H16" s="26"/>
      <c r="I16" s="42"/>
      <c r="J16" s="42"/>
      <c r="K16" s="42"/>
      <c r="M16" s="20" t="s">
        <v>37</v>
      </c>
      <c r="N16" s="38">
        <v>45658.0</v>
      </c>
      <c r="P16" s="26"/>
      <c r="Q16" s="58">
        <v>45658.0</v>
      </c>
      <c r="S16" s="26"/>
    </row>
    <row r="17">
      <c r="B17" s="27" t="s">
        <v>45</v>
      </c>
      <c r="C17" s="29"/>
      <c r="E17" s="26"/>
      <c r="F17" s="49">
        <v>450.0</v>
      </c>
      <c r="G17" s="53"/>
      <c r="H17" s="52"/>
      <c r="I17" s="36"/>
      <c r="J17" s="36"/>
      <c r="K17" s="36"/>
      <c r="M17" s="20" t="s">
        <v>42</v>
      </c>
      <c r="N17" s="44">
        <v>45658.0</v>
      </c>
      <c r="P17" s="26"/>
      <c r="Q17" s="44">
        <v>45658.0</v>
      </c>
      <c r="S17" s="26"/>
    </row>
    <row r="18">
      <c r="B18" s="9" t="s">
        <v>352</v>
      </c>
      <c r="C18" s="10"/>
      <c r="D18" s="10"/>
      <c r="E18" s="10"/>
      <c r="F18" s="10"/>
      <c r="G18" s="10"/>
      <c r="H18" s="12"/>
      <c r="I18" s="18"/>
      <c r="J18" s="18"/>
      <c r="K18" s="18"/>
      <c r="M18" s="20" t="s">
        <v>45</v>
      </c>
      <c r="N18" s="24"/>
      <c r="P18" s="26"/>
      <c r="Q18" s="47"/>
      <c r="S18" s="26"/>
    </row>
    <row r="19">
      <c r="B19" s="27" t="s">
        <v>30</v>
      </c>
      <c r="C19" s="29" t="s">
        <v>132</v>
      </c>
      <c r="D19" s="26"/>
      <c r="E19" s="29"/>
      <c r="F19" s="26"/>
      <c r="G19" s="33"/>
      <c r="H19" s="26"/>
      <c r="I19" s="34"/>
      <c r="J19" s="36"/>
      <c r="K19" s="36"/>
    </row>
    <row r="20">
      <c r="B20" s="27" t="s">
        <v>37</v>
      </c>
      <c r="C20" s="38">
        <v>46181.0</v>
      </c>
      <c r="D20" s="26"/>
      <c r="E20" s="38"/>
      <c r="F20" s="26"/>
      <c r="G20" s="38"/>
      <c r="H20" s="26"/>
      <c r="I20" s="42"/>
      <c r="J20" s="42"/>
      <c r="K20" s="42"/>
      <c r="M20" s="16">
        <v>300.0</v>
      </c>
    </row>
    <row r="21">
      <c r="B21" s="27" t="s">
        <v>42</v>
      </c>
      <c r="C21" s="44">
        <v>46394.0</v>
      </c>
      <c r="D21" s="26"/>
      <c r="E21" s="44"/>
      <c r="F21" s="26"/>
      <c r="G21" s="44"/>
      <c r="H21" s="26"/>
      <c r="I21" s="42"/>
      <c r="J21" s="42"/>
      <c r="K21" s="42"/>
      <c r="M21" s="20" t="s">
        <v>30</v>
      </c>
      <c r="N21" s="24"/>
      <c r="O21" s="26"/>
      <c r="P21" s="47"/>
      <c r="Q21" s="26"/>
      <c r="R21" s="47"/>
      <c r="S21" s="26"/>
    </row>
    <row r="22">
      <c r="B22" s="27" t="s">
        <v>45</v>
      </c>
      <c r="C22" s="49">
        <v>300.0</v>
      </c>
      <c r="D22" s="52"/>
      <c r="E22" s="29"/>
      <c r="F22" s="26"/>
      <c r="G22" s="29"/>
      <c r="H22" s="26"/>
      <c r="I22" s="36"/>
      <c r="J22" s="36"/>
      <c r="K22" s="36"/>
      <c r="M22" s="20" t="s">
        <v>37</v>
      </c>
      <c r="N22" s="38">
        <v>45658.0</v>
      </c>
      <c r="O22" s="26"/>
      <c r="P22" s="58">
        <v>45658.0</v>
      </c>
      <c r="Q22" s="26"/>
      <c r="R22" s="58">
        <v>45658.0</v>
      </c>
      <c r="S22" s="26"/>
    </row>
    <row r="23">
      <c r="B23" s="9" t="s">
        <v>354</v>
      </c>
      <c r="C23" s="10"/>
      <c r="D23" s="10"/>
      <c r="E23" s="10"/>
      <c r="F23" s="10"/>
      <c r="G23" s="10"/>
      <c r="H23" s="12"/>
      <c r="I23" s="18"/>
      <c r="J23" s="18"/>
      <c r="K23" s="18"/>
      <c r="M23" s="20" t="s">
        <v>42</v>
      </c>
      <c r="N23" s="44">
        <v>45658.0</v>
      </c>
      <c r="O23" s="26"/>
      <c r="P23" s="44">
        <v>45658.0</v>
      </c>
      <c r="Q23" s="26"/>
      <c r="R23" s="44">
        <v>45658.0</v>
      </c>
      <c r="S23" s="26"/>
    </row>
    <row r="24">
      <c r="B24" s="27" t="s">
        <v>30</v>
      </c>
      <c r="C24" s="43" t="s">
        <v>55</v>
      </c>
      <c r="E24" s="26"/>
      <c r="F24" s="33"/>
      <c r="H24" s="26"/>
      <c r="I24" s="34"/>
      <c r="J24" s="36"/>
      <c r="K24" s="36"/>
      <c r="M24" s="20" t="s">
        <v>45</v>
      </c>
      <c r="N24" s="24"/>
      <c r="O24" s="26"/>
      <c r="P24" s="47"/>
      <c r="Q24" s="26"/>
      <c r="R24" s="47"/>
      <c r="S24" s="26"/>
    </row>
    <row r="25">
      <c r="B25" s="27" t="s">
        <v>37</v>
      </c>
      <c r="C25" s="38">
        <v>46245.0</v>
      </c>
      <c r="E25" s="26"/>
      <c r="F25" s="29" t="s">
        <v>58</v>
      </c>
      <c r="H25" s="26"/>
      <c r="I25" s="36"/>
      <c r="J25" s="36"/>
      <c r="K25" s="36"/>
    </row>
    <row r="26">
      <c r="B26" s="27" t="s">
        <v>42</v>
      </c>
      <c r="C26" s="44">
        <v>46265.0</v>
      </c>
      <c r="E26" s="26"/>
      <c r="F26" s="44"/>
      <c r="H26" s="26"/>
      <c r="I26" s="36"/>
      <c r="J26" s="36"/>
      <c r="K26" s="36"/>
      <c r="L26" s="71"/>
    </row>
    <row r="27">
      <c r="B27" s="27" t="s">
        <v>45</v>
      </c>
      <c r="C27" s="29">
        <v>450.0</v>
      </c>
      <c r="E27" s="26"/>
      <c r="F27" s="49"/>
      <c r="G27" s="53"/>
      <c r="H27" s="52"/>
      <c r="I27" s="36"/>
      <c r="J27" s="36"/>
      <c r="K27" s="36"/>
      <c r="L27" s="71"/>
    </row>
    <row r="28">
      <c r="B28" s="9" t="s">
        <v>357</v>
      </c>
      <c r="C28" s="10"/>
      <c r="D28" s="10"/>
      <c r="E28" s="10"/>
      <c r="F28" s="10"/>
      <c r="G28" s="10"/>
      <c r="H28" s="12"/>
      <c r="I28" s="18"/>
      <c r="J28" s="18"/>
      <c r="K28" s="18"/>
      <c r="L28" s="71"/>
    </row>
    <row r="29">
      <c r="B29" s="27" t="s">
        <v>30</v>
      </c>
      <c r="C29" s="33" t="s">
        <v>184</v>
      </c>
      <c r="E29" s="26"/>
      <c r="F29" s="33" t="s">
        <v>140</v>
      </c>
      <c r="H29" s="26"/>
      <c r="I29" s="34"/>
      <c r="J29" s="36"/>
      <c r="K29" s="36"/>
      <c r="L29" s="71"/>
    </row>
    <row r="30">
      <c r="B30" s="27" t="s">
        <v>37</v>
      </c>
      <c r="C30" s="38">
        <v>46199.0</v>
      </c>
      <c r="E30" s="26"/>
      <c r="F30" s="38">
        <v>46246.0</v>
      </c>
      <c r="H30" s="26"/>
      <c r="I30" s="36"/>
      <c r="J30" s="36"/>
      <c r="K30" s="36"/>
      <c r="L30" s="71"/>
    </row>
    <row r="31">
      <c r="B31" s="27" t="s">
        <v>42</v>
      </c>
      <c r="C31" s="44">
        <v>46223.0</v>
      </c>
      <c r="E31" s="26"/>
      <c r="F31" s="44">
        <v>46265.0</v>
      </c>
      <c r="H31" s="26"/>
      <c r="I31" s="36"/>
      <c r="J31" s="36"/>
      <c r="K31" s="36"/>
      <c r="L31" s="71"/>
    </row>
    <row r="32">
      <c r="B32" s="27" t="s">
        <v>45</v>
      </c>
      <c r="C32" s="29">
        <v>450.0</v>
      </c>
      <c r="E32" s="26"/>
      <c r="F32" s="29">
        <v>300.0</v>
      </c>
      <c r="H32" s="26"/>
      <c r="I32" s="36"/>
      <c r="J32" s="36"/>
      <c r="K32" s="36"/>
      <c r="L32" s="71"/>
    </row>
    <row r="33">
      <c r="B33" s="9" t="s">
        <v>363</v>
      </c>
      <c r="C33" s="10"/>
      <c r="D33" s="10"/>
      <c r="E33" s="10"/>
      <c r="F33" s="10"/>
      <c r="G33" s="10"/>
      <c r="H33" s="12"/>
      <c r="I33" s="18"/>
      <c r="J33" s="18"/>
      <c r="K33" s="18"/>
      <c r="L33" s="71"/>
    </row>
    <row r="34">
      <c r="B34" s="27" t="s">
        <v>30</v>
      </c>
      <c r="C34" s="29" t="s">
        <v>118</v>
      </c>
      <c r="D34" s="26"/>
      <c r="E34" s="57" t="s">
        <v>75</v>
      </c>
      <c r="F34" s="26"/>
      <c r="G34" s="29" t="s">
        <v>360</v>
      </c>
      <c r="H34" s="26"/>
      <c r="I34" s="36"/>
      <c r="J34" s="36"/>
      <c r="K34" s="36"/>
      <c r="L34" s="71"/>
    </row>
    <row r="35">
      <c r="B35" s="27" t="s">
        <v>37</v>
      </c>
      <c r="C35" s="38">
        <v>46182.0</v>
      </c>
      <c r="D35" s="26"/>
      <c r="E35" s="58">
        <v>46185.0</v>
      </c>
      <c r="F35" s="26"/>
      <c r="G35" s="38">
        <v>46192.0</v>
      </c>
      <c r="H35" s="26"/>
      <c r="I35" s="36"/>
      <c r="J35" s="36"/>
      <c r="K35" s="36"/>
      <c r="L35" s="71"/>
    </row>
    <row r="36">
      <c r="B36" s="27" t="s">
        <v>42</v>
      </c>
      <c r="C36" s="44">
        <v>46211.0</v>
      </c>
      <c r="D36" s="26"/>
      <c r="E36" s="46">
        <v>46246.0</v>
      </c>
      <c r="F36" s="26"/>
      <c r="G36" s="44">
        <v>46206.0</v>
      </c>
      <c r="H36" s="26"/>
      <c r="I36" s="36"/>
      <c r="J36" s="36"/>
      <c r="K36" s="36"/>
      <c r="L36" s="71"/>
    </row>
    <row r="37">
      <c r="B37" s="27" t="s">
        <v>45</v>
      </c>
      <c r="C37" s="29">
        <v>300.0</v>
      </c>
      <c r="D37" s="26"/>
      <c r="E37" s="43">
        <v>300.0</v>
      </c>
      <c r="F37" s="26"/>
      <c r="G37" s="29">
        <v>300.0</v>
      </c>
      <c r="H37" s="26"/>
      <c r="I37" s="36"/>
      <c r="J37" s="36"/>
      <c r="K37" s="36"/>
      <c r="L37" s="71"/>
    </row>
    <row r="38">
      <c r="B38" s="9" t="s">
        <v>366</v>
      </c>
      <c r="C38" s="10"/>
      <c r="D38" s="10"/>
      <c r="E38" s="10"/>
      <c r="F38" s="10"/>
      <c r="G38" s="10"/>
      <c r="H38" s="12"/>
      <c r="I38" s="18"/>
      <c r="J38" s="18"/>
      <c r="K38" s="18"/>
      <c r="L38" s="71"/>
    </row>
    <row r="39">
      <c r="B39" s="27" t="s">
        <v>30</v>
      </c>
      <c r="C39" s="29" t="s">
        <v>367</v>
      </c>
      <c r="E39" s="26"/>
      <c r="F39" s="54" t="s">
        <v>93</v>
      </c>
      <c r="G39" s="55"/>
      <c r="H39" s="56"/>
      <c r="I39" s="36"/>
      <c r="J39" s="36"/>
      <c r="K39" s="36"/>
      <c r="L39" s="71"/>
    </row>
    <row r="40">
      <c r="B40" s="27" t="s">
        <v>37</v>
      </c>
      <c r="C40" s="38">
        <v>46169.0</v>
      </c>
      <c r="E40" s="26"/>
      <c r="F40" s="38">
        <v>46196.0</v>
      </c>
      <c r="H40" s="26"/>
      <c r="I40" s="36"/>
      <c r="J40" s="36"/>
      <c r="K40" s="36"/>
      <c r="L40" s="71"/>
    </row>
    <row r="41">
      <c r="B41" s="27" t="s">
        <v>42</v>
      </c>
      <c r="C41" s="44">
        <v>46198.0</v>
      </c>
      <c r="E41" s="26"/>
      <c r="F41" s="38">
        <v>46234.0</v>
      </c>
      <c r="H41" s="26"/>
      <c r="I41" s="36"/>
      <c r="J41" s="36"/>
      <c r="K41" s="36"/>
      <c r="L41" s="71"/>
    </row>
    <row r="42">
      <c r="B42" s="27" t="s">
        <v>45</v>
      </c>
      <c r="C42" s="29">
        <v>45.0</v>
      </c>
      <c r="E42" s="26"/>
      <c r="F42" s="49">
        <v>450.0</v>
      </c>
      <c r="G42" s="53"/>
      <c r="H42" s="52"/>
      <c r="I42" s="36"/>
      <c r="J42" s="36"/>
      <c r="K42" s="36"/>
      <c r="L42" s="71"/>
    </row>
    <row r="43">
      <c r="B43" s="9" t="s">
        <v>369</v>
      </c>
      <c r="C43" s="10"/>
      <c r="D43" s="10"/>
      <c r="E43" s="10"/>
      <c r="F43" s="10"/>
      <c r="G43" s="10"/>
      <c r="H43" s="12"/>
      <c r="I43" s="18"/>
      <c r="J43" s="18"/>
      <c r="K43" s="18"/>
      <c r="L43" s="71"/>
    </row>
    <row r="44">
      <c r="B44" s="27" t="s">
        <v>30</v>
      </c>
      <c r="C44" s="29" t="s">
        <v>106</v>
      </c>
      <c r="H44" s="26"/>
      <c r="I44" s="36"/>
      <c r="J44" s="36"/>
      <c r="K44" s="36"/>
      <c r="L44" s="71"/>
    </row>
    <row r="45">
      <c r="B45" s="27" t="s">
        <v>37</v>
      </c>
      <c r="C45" s="38">
        <v>46023.0</v>
      </c>
      <c r="H45" s="26"/>
      <c r="I45" s="36"/>
      <c r="J45" s="36"/>
      <c r="K45" s="36"/>
      <c r="L45" s="71"/>
    </row>
    <row r="46">
      <c r="B46" s="27" t="s">
        <v>42</v>
      </c>
      <c r="C46" s="44">
        <v>46387.0</v>
      </c>
      <c r="H46" s="26"/>
      <c r="I46" s="36"/>
      <c r="J46" s="36"/>
      <c r="K46" s="36"/>
      <c r="L46" s="71"/>
    </row>
    <row r="47">
      <c r="B47" s="27" t="s">
        <v>45</v>
      </c>
      <c r="C47" s="29">
        <v>450.0</v>
      </c>
      <c r="H47" s="26"/>
      <c r="I47" s="36"/>
      <c r="J47" s="36"/>
      <c r="K47" s="36"/>
      <c r="L47" s="71"/>
    </row>
    <row r="48">
      <c r="B48" s="9" t="s">
        <v>372</v>
      </c>
      <c r="C48" s="10"/>
      <c r="D48" s="10"/>
      <c r="E48" s="10"/>
      <c r="F48" s="10"/>
      <c r="G48" s="10"/>
      <c r="H48" s="12"/>
      <c r="I48" s="18"/>
      <c r="J48" s="18"/>
      <c r="K48" s="18"/>
      <c r="L48" s="71"/>
    </row>
    <row r="49">
      <c r="B49" s="40" t="s">
        <v>30</v>
      </c>
      <c r="C49" s="33"/>
      <c r="E49" s="26"/>
      <c r="F49" s="43"/>
      <c r="H49" s="26"/>
      <c r="I49" s="36"/>
      <c r="J49" s="36"/>
      <c r="K49" s="36"/>
      <c r="L49" s="71"/>
    </row>
    <row r="50">
      <c r="B50" s="40" t="s">
        <v>37</v>
      </c>
      <c r="C50" s="38"/>
      <c r="E50" s="26"/>
      <c r="F50" s="58"/>
      <c r="H50" s="26"/>
      <c r="I50" s="36"/>
      <c r="J50" s="36"/>
      <c r="K50" s="36"/>
      <c r="L50" s="71"/>
    </row>
    <row r="51">
      <c r="B51" s="40" t="s">
        <v>42</v>
      </c>
      <c r="C51" s="44"/>
      <c r="E51" s="26"/>
      <c r="F51" s="46"/>
      <c r="H51" s="26"/>
      <c r="I51" s="36"/>
      <c r="J51" s="36"/>
      <c r="K51" s="36"/>
      <c r="L51" s="71"/>
    </row>
    <row r="52">
      <c r="B52" s="48" t="s">
        <v>45</v>
      </c>
      <c r="C52" s="49"/>
      <c r="D52" s="53"/>
      <c r="E52" s="52"/>
      <c r="F52" s="86"/>
      <c r="G52" s="53"/>
      <c r="H52" s="52"/>
      <c r="I52" s="36"/>
      <c r="J52" s="36"/>
      <c r="K52" s="36"/>
      <c r="L52" s="71"/>
    </row>
    <row r="53">
      <c r="I53" s="36"/>
      <c r="J53" s="36"/>
      <c r="K53" s="36"/>
      <c r="L53" s="71"/>
    </row>
    <row r="54">
      <c r="B54" s="3" t="s">
        <v>186</v>
      </c>
      <c r="G54" s="3" t="str">
        <f>SUM(C7,F7,C27,F12,C17,F17,C22,F22,#REF!,#REF!,G42,C32,C37,F37,C42,#REF!,C47,F47,C52,F52,C61)</f>
        <v>#REF!</v>
      </c>
      <c r="I54" s="36"/>
      <c r="J54" s="36"/>
      <c r="K54" s="36"/>
      <c r="L54" s="71"/>
    </row>
    <row r="55">
      <c r="I55" s="36"/>
      <c r="J55" s="36"/>
      <c r="K55" s="36"/>
    </row>
  </sheetData>
  <mergeCells count="138">
    <mergeCell ref="N3:S3"/>
    <mergeCell ref="N4:S4"/>
    <mergeCell ref="C5:D5"/>
    <mergeCell ref="E5:F5"/>
    <mergeCell ref="G5:H5"/>
    <mergeCell ref="N5:S5"/>
    <mergeCell ref="C6:D6"/>
    <mergeCell ref="E6:F6"/>
    <mergeCell ref="G6:H6"/>
    <mergeCell ref="N6:S6"/>
    <mergeCell ref="C7:D7"/>
    <mergeCell ref="E7:F7"/>
    <mergeCell ref="G7:H7"/>
    <mergeCell ref="B8:H8"/>
    <mergeCell ref="M8:S8"/>
    <mergeCell ref="N9:Q9"/>
    <mergeCell ref="R9:S9"/>
    <mergeCell ref="C10:E10"/>
    <mergeCell ref="F10:H10"/>
    <mergeCell ref="N10:Q10"/>
    <mergeCell ref="R10:S10"/>
    <mergeCell ref="C11:E11"/>
    <mergeCell ref="F11:H11"/>
    <mergeCell ref="N11:Q11"/>
    <mergeCell ref="R11:S11"/>
    <mergeCell ref="C12:E12"/>
    <mergeCell ref="F12:H12"/>
    <mergeCell ref="N12:Q12"/>
    <mergeCell ref="R12:S12"/>
    <mergeCell ref="C4:D4"/>
    <mergeCell ref="C9:E9"/>
    <mergeCell ref="B13:H13"/>
    <mergeCell ref="C14:E14"/>
    <mergeCell ref="F14:H14"/>
    <mergeCell ref="C16:E16"/>
    <mergeCell ref="F16:H16"/>
    <mergeCell ref="N16:P16"/>
    <mergeCell ref="Q16:S16"/>
    <mergeCell ref="C17:E17"/>
    <mergeCell ref="F17:H17"/>
    <mergeCell ref="N17:P17"/>
    <mergeCell ref="Q17:S17"/>
    <mergeCell ref="B18:H18"/>
    <mergeCell ref="N18:P18"/>
    <mergeCell ref="M14:S14"/>
    <mergeCell ref="C15:E15"/>
    <mergeCell ref="F15:H15"/>
    <mergeCell ref="N15:P15"/>
    <mergeCell ref="Q15:S15"/>
    <mergeCell ref="C20:D20"/>
    <mergeCell ref="E20:F20"/>
    <mergeCell ref="G20:H20"/>
    <mergeCell ref="M20:S20"/>
    <mergeCell ref="C21:D21"/>
    <mergeCell ref="E21:F21"/>
    <mergeCell ref="G21:H21"/>
    <mergeCell ref="N21:O21"/>
    <mergeCell ref="P21:Q21"/>
    <mergeCell ref="R21:S21"/>
    <mergeCell ref="C22:D22"/>
    <mergeCell ref="E22:F22"/>
    <mergeCell ref="Q18:S18"/>
    <mergeCell ref="C19:D19"/>
    <mergeCell ref="E19:F19"/>
    <mergeCell ref="G19:H19"/>
    <mergeCell ref="G22:H22"/>
    <mergeCell ref="N22:O22"/>
    <mergeCell ref="P22:Q22"/>
    <mergeCell ref="R22:S22"/>
    <mergeCell ref="B23:H23"/>
    <mergeCell ref="N23:O23"/>
    <mergeCell ref="P23:Q23"/>
    <mergeCell ref="R23:S23"/>
    <mergeCell ref="C24:E24"/>
    <mergeCell ref="F24:H24"/>
    <mergeCell ref="N24:O24"/>
    <mergeCell ref="P24:Q24"/>
    <mergeCell ref="C39:E39"/>
    <mergeCell ref="F39:H39"/>
    <mergeCell ref="C40:E40"/>
    <mergeCell ref="F40:H40"/>
    <mergeCell ref="C41:E41"/>
    <mergeCell ref="F41:H41"/>
    <mergeCell ref="C42:E42"/>
    <mergeCell ref="C50:E50"/>
    <mergeCell ref="F50:H50"/>
    <mergeCell ref="C51:E51"/>
    <mergeCell ref="F51:H51"/>
    <mergeCell ref="C52:E52"/>
    <mergeCell ref="F52:H52"/>
    <mergeCell ref="B54:F54"/>
    <mergeCell ref="G54:H54"/>
    <mergeCell ref="F42:H42"/>
    <mergeCell ref="B43:H43"/>
    <mergeCell ref="C44:H44"/>
    <mergeCell ref="C45:H45"/>
    <mergeCell ref="C46:H46"/>
    <mergeCell ref="C47:H47"/>
    <mergeCell ref="B48:H48"/>
    <mergeCell ref="B2:H2"/>
    <mergeCell ref="L2:L25"/>
    <mergeCell ref="M2:S2"/>
    <mergeCell ref="B3:H3"/>
    <mergeCell ref="E4:F4"/>
    <mergeCell ref="G4:H4"/>
    <mergeCell ref="F9:H9"/>
    <mergeCell ref="R24:S24"/>
    <mergeCell ref="C25:E25"/>
    <mergeCell ref="F25:H25"/>
    <mergeCell ref="C26:E26"/>
    <mergeCell ref="F26:H26"/>
    <mergeCell ref="F27:H27"/>
    <mergeCell ref="B28:H28"/>
    <mergeCell ref="C27:E27"/>
    <mergeCell ref="C29:E29"/>
    <mergeCell ref="F29:H29"/>
    <mergeCell ref="C30:E30"/>
    <mergeCell ref="F30:H30"/>
    <mergeCell ref="C31:E31"/>
    <mergeCell ref="F31:H31"/>
    <mergeCell ref="E35:F35"/>
    <mergeCell ref="G35:H35"/>
    <mergeCell ref="C32:E32"/>
    <mergeCell ref="F32:H32"/>
    <mergeCell ref="B33:H33"/>
    <mergeCell ref="C34:D34"/>
    <mergeCell ref="E34:F34"/>
    <mergeCell ref="G34:H34"/>
    <mergeCell ref="C35:D35"/>
    <mergeCell ref="C36:D36"/>
    <mergeCell ref="E36:F36"/>
    <mergeCell ref="G36:H36"/>
    <mergeCell ref="C37:D37"/>
    <mergeCell ref="E37:F37"/>
    <mergeCell ref="G37:H37"/>
    <mergeCell ref="B38:H38"/>
    <mergeCell ref="C49:E49"/>
    <mergeCell ref="F49:H49"/>
  </mergeCells>
  <conditionalFormatting sqref="F39">
    <cfRule type="expression" dxfId="1" priority="1">
      <formula>$L24=TRUE</formula>
    </cfRule>
  </conditionalFormatting>
  <conditionalFormatting sqref="C14 F29 C49">
    <cfRule type="expression" dxfId="1" priority="2">
      <formula>$L14=TRUE</formula>
    </cfRule>
  </conditionalFormatting>
  <conditionalFormatting sqref="N5 C6:H6 C11:H11 N11:S11 C16:H16 N17:S17 C21:H21 N23:S23 C26:H26 C31:H31 C36:H36 C41:H41 C46:H46 C51:H51">
    <cfRule type="cellIs" dxfId="2" priority="3" operator="lessThanOrEqual">
      <formula>TODAY()-1</formula>
    </cfRule>
  </conditionalFormatting>
  <conditionalFormatting sqref="N5 C6:H6 C11:F11 N11 Q11:R11 C16:H16 N17 Q17 C21:G21 N23 P23:R23 C26:H26 C31:H31 C36 E36:G36 C41:H41 C46 E46:G46 C51:G51">
    <cfRule type="cellIs" dxfId="3" priority="4" operator="lessThanOrEqual">
      <formula>TODAY()</formula>
    </cfRule>
  </conditionalFormatting>
  <conditionalFormatting sqref="N5 C6:G6 C11:F11 N11 Q11:R11 C16:H16 N17 Q17 C21:G21 N23 P23:R23 C26:H26 C31:H31 C36 E36:G36 C41:G41 C46 E46:G46 C51:G51">
    <cfRule type="cellIs" dxfId="4" priority="5" operator="lessThanOrEqual">
      <formula>TODAY()+3</formula>
    </cfRule>
  </conditionalFormatting>
  <conditionalFormatting sqref="N5 C6:G6 C11:F11 N11 Q11:R11 C16:H16 N17 Q17 C21:G21 N23 P23:R23 C26:H26 C31:H31 C36 E36:G36 C41:G41 C46 E46:G46 C51:G51">
    <cfRule type="cellIs" dxfId="5" priority="6" operator="lessThanOrEqual">
      <formula>TODAY()+8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9.38"/>
    <col customWidth="1" min="3" max="3" width="6.5"/>
    <col customWidth="1" min="4" max="4" width="11.88"/>
    <col customWidth="1" min="5" max="5" width="6.0"/>
    <col customWidth="1" min="6" max="6" width="10.5"/>
    <col customWidth="1" min="7" max="7" width="6.0"/>
    <col customWidth="1" min="8" max="8" width="9.88"/>
    <col customWidth="1" min="9" max="9" width="5.63"/>
    <col customWidth="1" min="10" max="10" width="7.0"/>
    <col customWidth="1" min="11" max="11" width="8.25"/>
    <col customWidth="1" min="12" max="12" width="4.5"/>
    <col customWidth="1" min="13" max="13" width="8.88" outlineLevel="1"/>
    <col customWidth="1" min="14" max="14" width="3.88" outlineLevel="1"/>
    <col customWidth="1" min="15" max="15" width="6.88" outlineLevel="1"/>
    <col customWidth="1" min="16" max="16" width="6.0" outlineLevel="1"/>
    <col customWidth="1" min="17" max="17" width="7.38" outlineLevel="1"/>
    <col customWidth="1" min="18" max="18" width="5.63" outlineLevel="1"/>
    <col customWidth="1" min="19" max="19" width="5.0" outlineLevel="1"/>
  </cols>
  <sheetData>
    <row r="1">
      <c r="A1" s="1"/>
    </row>
    <row r="2">
      <c r="B2" s="3" t="s">
        <v>20</v>
      </c>
      <c r="I2" s="8"/>
      <c r="J2" s="8"/>
      <c r="K2" s="8"/>
      <c r="L2" s="13" t="s">
        <v>17</v>
      </c>
      <c r="M2" s="16">
        <v>900.0</v>
      </c>
    </row>
    <row r="3">
      <c r="B3" s="9" t="s">
        <v>329</v>
      </c>
      <c r="C3" s="10"/>
      <c r="D3" s="10"/>
      <c r="E3" s="10"/>
      <c r="F3" s="10"/>
      <c r="G3" s="10"/>
      <c r="H3" s="12"/>
      <c r="I3" s="18"/>
      <c r="J3" s="18"/>
      <c r="K3" s="18"/>
      <c r="M3" s="20" t="s">
        <v>30</v>
      </c>
      <c r="N3" s="24"/>
      <c r="S3" s="26"/>
    </row>
    <row r="4">
      <c r="B4" s="27" t="s">
        <v>30</v>
      </c>
      <c r="C4" s="29" t="s">
        <v>174</v>
      </c>
      <c r="E4" s="26"/>
      <c r="F4" s="43" t="s">
        <v>138</v>
      </c>
      <c r="H4" s="26"/>
      <c r="I4" s="36"/>
      <c r="J4" s="36"/>
      <c r="K4" s="36"/>
      <c r="M4" s="20" t="s">
        <v>37</v>
      </c>
      <c r="N4" s="38">
        <v>45658.0</v>
      </c>
      <c r="S4" s="26"/>
    </row>
    <row r="5">
      <c r="B5" s="27" t="s">
        <v>37</v>
      </c>
      <c r="C5" s="38">
        <v>45658.0</v>
      </c>
      <c r="E5" s="26"/>
      <c r="F5" s="58">
        <v>45658.0</v>
      </c>
      <c r="H5" s="26"/>
      <c r="I5" s="42"/>
      <c r="J5" s="42"/>
      <c r="K5" s="42"/>
      <c r="M5" s="20" t="s">
        <v>42</v>
      </c>
      <c r="N5" s="44">
        <v>45833.0</v>
      </c>
      <c r="S5" s="26"/>
    </row>
    <row r="6">
      <c r="B6" s="27" t="s">
        <v>42</v>
      </c>
      <c r="C6" s="44">
        <v>45658.0</v>
      </c>
      <c r="E6" s="26"/>
      <c r="F6" s="46">
        <v>45658.0</v>
      </c>
      <c r="H6" s="26"/>
      <c r="I6" s="42"/>
      <c r="J6" s="42"/>
      <c r="K6" s="42"/>
      <c r="M6" s="20" t="s">
        <v>45</v>
      </c>
      <c r="N6" s="24"/>
      <c r="S6" s="26"/>
    </row>
    <row r="7">
      <c r="B7" s="27" t="s">
        <v>45</v>
      </c>
      <c r="C7" s="24"/>
      <c r="E7" s="26"/>
      <c r="F7" s="47"/>
      <c r="H7" s="26"/>
      <c r="I7" s="36"/>
      <c r="J7" s="36"/>
      <c r="K7" s="36"/>
    </row>
    <row r="8">
      <c r="B8" s="9" t="s">
        <v>339</v>
      </c>
      <c r="C8" s="10"/>
      <c r="D8" s="10"/>
      <c r="E8" s="10"/>
      <c r="F8" s="10"/>
      <c r="G8" s="10"/>
      <c r="H8" s="12"/>
      <c r="I8" s="18"/>
      <c r="J8" s="18"/>
      <c r="K8" s="18"/>
      <c r="M8" s="16">
        <v>600.0</v>
      </c>
    </row>
    <row r="9">
      <c r="B9" s="27" t="s">
        <v>30</v>
      </c>
      <c r="C9" s="29" t="s">
        <v>76</v>
      </c>
      <c r="E9" s="26"/>
      <c r="F9" s="43" t="s">
        <v>341</v>
      </c>
      <c r="H9" s="26"/>
      <c r="I9" s="36"/>
      <c r="J9" s="36"/>
      <c r="K9" s="36"/>
      <c r="M9" s="20" t="s">
        <v>30</v>
      </c>
      <c r="N9" s="24"/>
      <c r="Q9" s="26"/>
      <c r="R9" s="47"/>
      <c r="S9" s="26"/>
    </row>
    <row r="10">
      <c r="B10" s="27" t="s">
        <v>37</v>
      </c>
      <c r="C10" s="38">
        <v>46177.0</v>
      </c>
      <c r="E10" s="26"/>
      <c r="F10" s="58">
        <v>46023.0</v>
      </c>
      <c r="H10" s="26"/>
      <c r="I10" s="42"/>
      <c r="J10" s="42"/>
      <c r="K10" s="42"/>
      <c r="M10" s="20" t="s">
        <v>37</v>
      </c>
      <c r="N10" s="38">
        <v>45658.0</v>
      </c>
      <c r="Q10" s="26"/>
      <c r="R10" s="58">
        <v>45658.0</v>
      </c>
      <c r="S10" s="26"/>
    </row>
    <row r="11">
      <c r="B11" s="27" t="s">
        <v>42</v>
      </c>
      <c r="C11" s="44">
        <v>46203.0</v>
      </c>
      <c r="E11" s="26"/>
      <c r="F11" s="46">
        <v>46387.0</v>
      </c>
      <c r="H11" s="26"/>
      <c r="I11" s="42"/>
      <c r="J11" s="42"/>
      <c r="K11" s="42"/>
      <c r="M11" s="20" t="s">
        <v>42</v>
      </c>
      <c r="N11" s="44">
        <v>45658.0</v>
      </c>
      <c r="Q11" s="26"/>
      <c r="R11" s="46">
        <v>45658.0</v>
      </c>
      <c r="S11" s="26"/>
    </row>
    <row r="12">
      <c r="B12" s="27" t="s">
        <v>45</v>
      </c>
      <c r="C12" s="29">
        <v>450.0</v>
      </c>
      <c r="E12" s="26"/>
      <c r="F12" s="43">
        <v>450.0</v>
      </c>
      <c r="H12" s="26"/>
      <c r="I12" s="36"/>
      <c r="J12" s="36"/>
      <c r="K12" s="36"/>
      <c r="M12" s="20" t="s">
        <v>45</v>
      </c>
      <c r="N12" s="24"/>
      <c r="Q12" s="26"/>
      <c r="R12" s="47"/>
      <c r="S12" s="26"/>
    </row>
    <row r="13">
      <c r="B13" s="9" t="s">
        <v>351</v>
      </c>
      <c r="C13" s="10"/>
      <c r="D13" s="10"/>
      <c r="E13" s="10"/>
      <c r="F13" s="10"/>
      <c r="G13" s="10"/>
      <c r="H13" s="12"/>
      <c r="I13" s="18"/>
      <c r="J13" s="18"/>
      <c r="K13" s="18"/>
    </row>
    <row r="14">
      <c r="B14" s="27" t="s">
        <v>30</v>
      </c>
      <c r="C14" s="29" t="s">
        <v>132</v>
      </c>
      <c r="D14" s="26"/>
      <c r="E14" s="29" t="s">
        <v>118</v>
      </c>
      <c r="F14" s="26"/>
      <c r="G14" s="57" t="s">
        <v>75</v>
      </c>
      <c r="H14" s="26"/>
      <c r="I14" s="36"/>
      <c r="J14" s="36"/>
      <c r="K14" s="36"/>
      <c r="M14" s="16">
        <v>450.0</v>
      </c>
    </row>
    <row r="15">
      <c r="B15" s="27" t="s">
        <v>37</v>
      </c>
      <c r="C15" s="38">
        <v>46181.0</v>
      </c>
      <c r="D15" s="26"/>
      <c r="E15" s="38">
        <v>46182.0</v>
      </c>
      <c r="F15" s="26"/>
      <c r="G15" s="58">
        <v>46185.0</v>
      </c>
      <c r="H15" s="26"/>
      <c r="I15" s="42"/>
      <c r="J15" s="42"/>
      <c r="K15" s="42"/>
      <c r="M15" s="20" t="s">
        <v>30</v>
      </c>
      <c r="N15" s="24"/>
      <c r="P15" s="26"/>
      <c r="Q15" s="47"/>
      <c r="S15" s="26"/>
    </row>
    <row r="16">
      <c r="B16" s="27" t="s">
        <v>42</v>
      </c>
      <c r="C16" s="44">
        <v>46394.0</v>
      </c>
      <c r="D16" s="26"/>
      <c r="E16" s="44">
        <v>46211.0</v>
      </c>
      <c r="F16" s="26"/>
      <c r="G16" s="46">
        <v>46246.0</v>
      </c>
      <c r="H16" s="26"/>
      <c r="I16" s="42"/>
      <c r="J16" s="42"/>
      <c r="K16" s="42"/>
      <c r="M16" s="20" t="s">
        <v>37</v>
      </c>
      <c r="N16" s="38">
        <v>45658.0</v>
      </c>
      <c r="P16" s="26"/>
      <c r="Q16" s="58">
        <v>45658.0</v>
      </c>
      <c r="S16" s="26"/>
    </row>
    <row r="17">
      <c r="B17" s="27" t="s">
        <v>45</v>
      </c>
      <c r="C17" s="49">
        <v>300.0</v>
      </c>
      <c r="D17" s="52"/>
      <c r="E17" s="29">
        <v>300.0</v>
      </c>
      <c r="F17" s="26"/>
      <c r="G17" s="43">
        <v>300.0</v>
      </c>
      <c r="H17" s="26"/>
      <c r="I17" s="36"/>
      <c r="J17" s="36"/>
      <c r="K17" s="36"/>
      <c r="M17" s="20" t="s">
        <v>42</v>
      </c>
      <c r="N17" s="44">
        <v>45658.0</v>
      </c>
      <c r="P17" s="26"/>
      <c r="Q17" s="46">
        <v>45658.0</v>
      </c>
      <c r="S17" s="26"/>
    </row>
    <row r="18">
      <c r="B18" s="9" t="s">
        <v>353</v>
      </c>
      <c r="C18" s="10"/>
      <c r="D18" s="10"/>
      <c r="E18" s="10"/>
      <c r="F18" s="10"/>
      <c r="G18" s="10"/>
      <c r="H18" s="12"/>
      <c r="I18" s="18"/>
      <c r="J18" s="18"/>
      <c r="K18" s="18"/>
      <c r="M18" s="20" t="s">
        <v>45</v>
      </c>
      <c r="N18" s="24"/>
      <c r="P18" s="26"/>
      <c r="Q18" s="47"/>
      <c r="S18" s="26"/>
    </row>
    <row r="19">
      <c r="B19" s="27" t="s">
        <v>30</v>
      </c>
      <c r="C19" s="29" t="s">
        <v>343</v>
      </c>
      <c r="E19" s="26"/>
      <c r="F19" s="29" t="s">
        <v>235</v>
      </c>
      <c r="H19" s="26"/>
      <c r="I19" s="36"/>
      <c r="J19" s="36"/>
      <c r="K19" s="36"/>
    </row>
    <row r="20">
      <c r="B20" s="27" t="s">
        <v>37</v>
      </c>
      <c r="C20" s="38">
        <v>46205.0</v>
      </c>
      <c r="E20" s="26"/>
      <c r="F20" s="38">
        <v>46200.0</v>
      </c>
      <c r="H20" s="26"/>
      <c r="I20" s="42"/>
      <c r="J20" s="42"/>
      <c r="K20" s="42"/>
      <c r="M20" s="16">
        <v>300.0</v>
      </c>
    </row>
    <row r="21">
      <c r="B21" s="27" t="s">
        <v>42</v>
      </c>
      <c r="C21" s="44">
        <v>46235.0</v>
      </c>
      <c r="E21" s="26"/>
      <c r="F21" s="44">
        <v>46206.0</v>
      </c>
      <c r="H21" s="26"/>
      <c r="I21" s="42"/>
      <c r="J21" s="42"/>
      <c r="K21" s="42"/>
      <c r="M21" s="20" t="s">
        <v>30</v>
      </c>
      <c r="N21" s="24"/>
      <c r="O21" s="26"/>
      <c r="P21" s="47"/>
      <c r="Q21" s="26"/>
      <c r="R21" s="47"/>
      <c r="S21" s="26"/>
    </row>
    <row r="22">
      <c r="B22" s="27" t="s">
        <v>45</v>
      </c>
      <c r="C22" s="29">
        <v>450.0</v>
      </c>
      <c r="E22" s="26"/>
      <c r="F22" s="29">
        <v>450.0</v>
      </c>
      <c r="H22" s="26"/>
      <c r="I22" s="36"/>
      <c r="J22" s="36"/>
      <c r="K22" s="36"/>
      <c r="M22" s="20" t="s">
        <v>37</v>
      </c>
      <c r="N22" s="38">
        <v>45658.0</v>
      </c>
      <c r="O22" s="26"/>
      <c r="P22" s="58">
        <v>45658.0</v>
      </c>
      <c r="Q22" s="26"/>
      <c r="R22" s="58">
        <v>45658.0</v>
      </c>
      <c r="S22" s="26"/>
    </row>
    <row r="23">
      <c r="B23" s="9" t="s">
        <v>355</v>
      </c>
      <c r="C23" s="10"/>
      <c r="D23" s="10"/>
      <c r="E23" s="10"/>
      <c r="F23" s="10"/>
      <c r="G23" s="10"/>
      <c r="H23" s="12"/>
      <c r="I23" s="18"/>
      <c r="J23" s="18"/>
      <c r="K23" s="18"/>
      <c r="M23" s="20" t="s">
        <v>42</v>
      </c>
      <c r="N23" s="44">
        <v>45658.0</v>
      </c>
      <c r="O23" s="26"/>
      <c r="P23" s="46">
        <v>45658.0</v>
      </c>
      <c r="Q23" s="26"/>
      <c r="R23" s="46">
        <v>45658.0</v>
      </c>
      <c r="S23" s="26"/>
    </row>
    <row r="24">
      <c r="B24" s="27" t="s">
        <v>30</v>
      </c>
      <c r="C24" s="33" t="s">
        <v>159</v>
      </c>
      <c r="E24" s="26"/>
      <c r="F24" s="43" t="s">
        <v>55</v>
      </c>
      <c r="H24" s="26"/>
      <c r="I24" s="36"/>
      <c r="J24" s="36"/>
      <c r="K24" s="36"/>
      <c r="M24" s="20" t="s">
        <v>45</v>
      </c>
      <c r="N24" s="24"/>
      <c r="O24" s="26"/>
      <c r="P24" s="47"/>
      <c r="Q24" s="26"/>
      <c r="R24" s="47"/>
      <c r="S24" s="26"/>
    </row>
    <row r="25">
      <c r="B25" s="27" t="s">
        <v>37</v>
      </c>
      <c r="C25" s="38">
        <v>46204.0</v>
      </c>
      <c r="E25" s="26"/>
      <c r="F25" s="38">
        <v>46245.0</v>
      </c>
      <c r="H25" s="26"/>
      <c r="I25" s="36"/>
      <c r="J25" s="36"/>
      <c r="K25" s="36"/>
    </row>
    <row r="26">
      <c r="B26" s="27" t="s">
        <v>42</v>
      </c>
      <c r="C26" s="44">
        <v>46265.0</v>
      </c>
      <c r="E26" s="26"/>
      <c r="F26" s="44">
        <v>46265.0</v>
      </c>
      <c r="H26" s="26"/>
      <c r="I26" s="36"/>
      <c r="J26" s="36"/>
      <c r="K26" s="36"/>
      <c r="L26" s="71"/>
    </row>
    <row r="27">
      <c r="B27" s="27" t="s">
        <v>45</v>
      </c>
      <c r="C27" s="49">
        <v>450.0</v>
      </c>
      <c r="D27" s="53"/>
      <c r="E27" s="52"/>
      <c r="F27" s="29">
        <v>450.0</v>
      </c>
      <c r="H27" s="26"/>
      <c r="I27" s="36"/>
      <c r="J27" s="36"/>
      <c r="K27" s="36"/>
      <c r="L27" s="71"/>
    </row>
    <row r="28">
      <c r="B28" s="9" t="s">
        <v>359</v>
      </c>
      <c r="C28" s="10"/>
      <c r="D28" s="10"/>
      <c r="E28" s="10"/>
      <c r="F28" s="10"/>
      <c r="G28" s="10"/>
      <c r="H28" s="12"/>
      <c r="I28" s="18"/>
      <c r="J28" s="18"/>
      <c r="K28" s="18"/>
      <c r="L28" s="71"/>
    </row>
    <row r="29">
      <c r="B29" s="27" t="s">
        <v>30</v>
      </c>
      <c r="C29" s="29" t="s">
        <v>360</v>
      </c>
      <c r="D29" s="26"/>
      <c r="E29" s="107" t="s">
        <v>362</v>
      </c>
      <c r="F29" s="26"/>
      <c r="G29" s="29" t="s">
        <v>162</v>
      </c>
      <c r="H29" s="26"/>
      <c r="I29" s="36"/>
      <c r="J29" s="36"/>
      <c r="K29" s="36"/>
      <c r="L29" s="71"/>
    </row>
    <row r="30">
      <c r="B30" s="27" t="s">
        <v>37</v>
      </c>
      <c r="C30" s="38">
        <v>46192.0</v>
      </c>
      <c r="D30" s="26"/>
      <c r="E30" s="38">
        <v>46188.0</v>
      </c>
      <c r="F30" s="26"/>
      <c r="G30" s="38">
        <v>46192.0</v>
      </c>
      <c r="H30" s="26"/>
      <c r="I30" s="36"/>
      <c r="J30" s="36"/>
      <c r="K30" s="36"/>
      <c r="L30" s="71"/>
    </row>
    <row r="31">
      <c r="B31" s="27" t="s">
        <v>42</v>
      </c>
      <c r="C31" s="44">
        <v>46206.0</v>
      </c>
      <c r="D31" s="26"/>
      <c r="E31" s="38">
        <v>46196.0</v>
      </c>
      <c r="F31" s="26"/>
      <c r="G31" s="38">
        <v>46234.0</v>
      </c>
      <c r="H31" s="26"/>
      <c r="I31" s="36"/>
      <c r="J31" s="36"/>
      <c r="K31" s="36"/>
      <c r="L31" s="71"/>
    </row>
    <row r="32">
      <c r="B32" s="27" t="s">
        <v>45</v>
      </c>
      <c r="C32" s="29">
        <v>300.0</v>
      </c>
      <c r="D32" s="26"/>
      <c r="E32" s="29">
        <v>300.0</v>
      </c>
      <c r="F32" s="26"/>
      <c r="G32" s="29">
        <v>300.0</v>
      </c>
      <c r="H32" s="26"/>
      <c r="I32" s="36"/>
      <c r="J32" s="36"/>
      <c r="K32" s="36"/>
      <c r="L32" s="71"/>
    </row>
    <row r="33">
      <c r="B33" s="9" t="s">
        <v>364</v>
      </c>
      <c r="C33" s="10"/>
      <c r="D33" s="10"/>
      <c r="E33" s="10"/>
      <c r="F33" s="10"/>
      <c r="G33" s="10"/>
      <c r="H33" s="12"/>
      <c r="I33" s="18"/>
      <c r="J33" s="18"/>
      <c r="K33" s="18"/>
      <c r="L33" s="71"/>
    </row>
    <row r="34">
      <c r="B34" s="27" t="s">
        <v>30</v>
      </c>
      <c r="C34" s="33"/>
      <c r="E34" s="26"/>
      <c r="F34" s="29"/>
      <c r="H34" s="26"/>
      <c r="I34" s="36"/>
      <c r="J34" s="36"/>
      <c r="K34" s="36"/>
      <c r="L34" s="71"/>
    </row>
    <row r="35">
      <c r="B35" s="27" t="s">
        <v>37</v>
      </c>
      <c r="C35" s="38"/>
      <c r="E35" s="26"/>
      <c r="F35" s="38"/>
      <c r="H35" s="26"/>
      <c r="I35" s="109"/>
      <c r="J35" s="36"/>
      <c r="K35" s="36"/>
      <c r="L35" s="71"/>
    </row>
    <row r="36">
      <c r="B36" s="27" t="s">
        <v>42</v>
      </c>
      <c r="C36" s="44"/>
      <c r="E36" s="26"/>
      <c r="F36" s="38"/>
      <c r="H36" s="26"/>
      <c r="I36" s="36"/>
      <c r="J36" s="36"/>
      <c r="K36" s="36"/>
      <c r="L36" s="71"/>
    </row>
    <row r="37">
      <c r="B37" s="27" t="s">
        <v>45</v>
      </c>
      <c r="C37" s="29"/>
      <c r="E37" s="26"/>
      <c r="F37" s="29"/>
      <c r="H37" s="26"/>
      <c r="I37" s="36"/>
      <c r="J37" s="36"/>
      <c r="K37" s="36"/>
      <c r="L37" s="71"/>
    </row>
    <row r="38">
      <c r="B38" s="9" t="s">
        <v>368</v>
      </c>
      <c r="C38" s="10"/>
      <c r="D38" s="10"/>
      <c r="E38" s="10"/>
      <c r="F38" s="10"/>
      <c r="G38" s="10"/>
      <c r="H38" s="12"/>
      <c r="I38" s="18"/>
      <c r="J38" s="18"/>
      <c r="K38" s="18"/>
      <c r="L38" s="71"/>
    </row>
    <row r="39">
      <c r="B39" s="27" t="s">
        <v>30</v>
      </c>
      <c r="C39" s="111" t="s">
        <v>143</v>
      </c>
      <c r="E39" s="26"/>
      <c r="F39" s="33" t="s">
        <v>140</v>
      </c>
      <c r="H39" s="26"/>
      <c r="I39" s="36"/>
      <c r="J39" s="36"/>
      <c r="K39" s="36"/>
      <c r="L39" s="71"/>
    </row>
    <row r="40">
      <c r="B40" s="27" t="s">
        <v>37</v>
      </c>
      <c r="C40" s="38">
        <v>46246.0</v>
      </c>
      <c r="E40" s="26"/>
      <c r="F40" s="38">
        <v>46246.0</v>
      </c>
      <c r="H40" s="26"/>
      <c r="I40" s="36"/>
      <c r="J40" s="36"/>
      <c r="K40" s="36"/>
      <c r="L40" s="71"/>
    </row>
    <row r="41">
      <c r="B41" s="27" t="s">
        <v>42</v>
      </c>
      <c r="C41" s="44">
        <v>46255.0</v>
      </c>
      <c r="E41" s="26"/>
      <c r="F41" s="44">
        <v>46265.0</v>
      </c>
      <c r="H41" s="26"/>
      <c r="I41" s="36"/>
      <c r="J41" s="36"/>
      <c r="K41" s="36"/>
      <c r="L41" s="71"/>
    </row>
    <row r="42">
      <c r="B42" s="27" t="s">
        <v>45</v>
      </c>
      <c r="C42" s="29">
        <v>300.0</v>
      </c>
      <c r="E42" s="26"/>
      <c r="F42" s="29">
        <v>300.0</v>
      </c>
      <c r="H42" s="26"/>
      <c r="I42" s="36"/>
      <c r="J42" s="36"/>
      <c r="K42" s="36"/>
      <c r="L42" s="71"/>
    </row>
    <row r="43">
      <c r="B43" s="9" t="s">
        <v>370</v>
      </c>
      <c r="C43" s="10"/>
      <c r="D43" s="10"/>
      <c r="E43" s="10"/>
      <c r="F43" s="10"/>
      <c r="G43" s="10"/>
      <c r="H43" s="12"/>
      <c r="I43" s="18"/>
      <c r="J43" s="18"/>
      <c r="K43" s="18"/>
      <c r="L43" s="71"/>
    </row>
    <row r="44">
      <c r="B44" s="27" t="s">
        <v>30</v>
      </c>
      <c r="C44" s="29"/>
      <c r="E44" s="26"/>
      <c r="F44" s="43"/>
      <c r="H44" s="26"/>
      <c r="I44" s="36"/>
      <c r="J44" s="36"/>
      <c r="K44" s="36"/>
      <c r="L44" s="71"/>
    </row>
    <row r="45">
      <c r="B45" s="27" t="s">
        <v>37</v>
      </c>
      <c r="C45" s="38"/>
      <c r="E45" s="26"/>
      <c r="F45" s="58"/>
      <c r="H45" s="26"/>
      <c r="I45" s="36"/>
      <c r="J45" s="36"/>
      <c r="K45" s="36"/>
      <c r="L45" s="71"/>
    </row>
    <row r="46">
      <c r="B46" s="27" t="s">
        <v>42</v>
      </c>
      <c r="C46" s="44"/>
      <c r="E46" s="26"/>
      <c r="F46" s="46"/>
      <c r="H46" s="26"/>
      <c r="I46" s="36"/>
      <c r="J46" s="36"/>
      <c r="K46" s="36"/>
      <c r="L46" s="71"/>
    </row>
    <row r="47">
      <c r="B47" s="27" t="s">
        <v>45</v>
      </c>
      <c r="C47" s="29"/>
      <c r="E47" s="26"/>
      <c r="F47" s="43" t="s">
        <v>62</v>
      </c>
      <c r="H47" s="26"/>
      <c r="I47" s="36"/>
      <c r="J47" s="36"/>
      <c r="K47" s="36"/>
      <c r="L47" s="71"/>
    </row>
    <row r="48">
      <c r="B48" s="9" t="s">
        <v>373</v>
      </c>
      <c r="C48" s="10"/>
      <c r="D48" s="10"/>
      <c r="E48" s="10"/>
      <c r="F48" s="10"/>
      <c r="G48" s="10"/>
      <c r="H48" s="12"/>
      <c r="I48" s="18"/>
      <c r="J48" s="18"/>
      <c r="K48" s="18"/>
      <c r="L48" s="71"/>
    </row>
    <row r="49">
      <c r="B49" s="40" t="s">
        <v>30</v>
      </c>
      <c r="C49" s="43"/>
      <c r="E49" s="29"/>
      <c r="F49" s="26"/>
      <c r="G49" s="54"/>
      <c r="H49" s="56"/>
      <c r="I49" s="36"/>
      <c r="J49" s="36"/>
      <c r="K49" s="36"/>
      <c r="L49" s="71"/>
    </row>
    <row r="50">
      <c r="B50" s="40" t="s">
        <v>37</v>
      </c>
      <c r="C50" s="38"/>
      <c r="D50" s="26"/>
      <c r="E50" s="38"/>
      <c r="F50" s="26"/>
      <c r="G50" s="112"/>
      <c r="H50" s="26"/>
      <c r="I50" s="36"/>
      <c r="J50" s="36"/>
      <c r="K50" s="36"/>
      <c r="L50" s="71"/>
    </row>
    <row r="51">
      <c r="B51" s="40" t="s">
        <v>42</v>
      </c>
      <c r="C51" s="44"/>
      <c r="D51" s="26"/>
      <c r="E51" s="44"/>
      <c r="F51" s="26"/>
      <c r="G51" s="114"/>
      <c r="H51" s="26"/>
      <c r="I51" s="36"/>
      <c r="J51" s="36"/>
      <c r="K51" s="36"/>
      <c r="L51" s="71"/>
    </row>
    <row r="52">
      <c r="B52" s="48" t="s">
        <v>45</v>
      </c>
      <c r="C52" s="86"/>
      <c r="D52" s="53"/>
      <c r="E52" s="49"/>
      <c r="F52" s="52"/>
      <c r="G52" s="82"/>
      <c r="H52" s="52"/>
      <c r="I52" s="36"/>
      <c r="J52" s="36"/>
      <c r="K52" s="36"/>
      <c r="L52" s="71"/>
    </row>
    <row r="53">
      <c r="I53" s="36"/>
      <c r="J53" s="36"/>
      <c r="K53" s="36"/>
      <c r="L53" s="71"/>
    </row>
    <row r="54">
      <c r="B54" s="3" t="s">
        <v>186</v>
      </c>
      <c r="G54" s="3" t="str">
        <f>SUM(C7,C12,C17,F17,F37,F22,C27,F27,C32,E32,G32,C37,E37,G42,C42,#REF!,C47,F47,C52,E52,G52)</f>
        <v>#REF!</v>
      </c>
      <c r="I54" s="36"/>
      <c r="J54" s="36"/>
      <c r="K54" s="36"/>
      <c r="L54" s="71"/>
    </row>
    <row r="55">
      <c r="I55" s="36"/>
      <c r="J55" s="36"/>
      <c r="K55" s="36"/>
    </row>
  </sheetData>
  <mergeCells count="142">
    <mergeCell ref="C4:E4"/>
    <mergeCell ref="C5:E5"/>
    <mergeCell ref="N4:S4"/>
    <mergeCell ref="N5:S5"/>
    <mergeCell ref="C6:E6"/>
    <mergeCell ref="F6:H6"/>
    <mergeCell ref="F5:H5"/>
    <mergeCell ref="C7:E7"/>
    <mergeCell ref="F7:H7"/>
    <mergeCell ref="C9:E9"/>
    <mergeCell ref="F9:H9"/>
    <mergeCell ref="N9:Q9"/>
    <mergeCell ref="R9:S9"/>
    <mergeCell ref="C10:E10"/>
    <mergeCell ref="F10:H10"/>
    <mergeCell ref="B8:H8"/>
    <mergeCell ref="M8:S8"/>
    <mergeCell ref="N10:Q10"/>
    <mergeCell ref="R10:S10"/>
    <mergeCell ref="C11:E11"/>
    <mergeCell ref="F11:H11"/>
    <mergeCell ref="N11:Q11"/>
    <mergeCell ref="R11:S11"/>
    <mergeCell ref="C12:E12"/>
    <mergeCell ref="F12:H12"/>
    <mergeCell ref="N12:Q12"/>
    <mergeCell ref="R12:S12"/>
    <mergeCell ref="B13:H13"/>
    <mergeCell ref="C14:D14"/>
    <mergeCell ref="E14:F14"/>
    <mergeCell ref="G14:H14"/>
    <mergeCell ref="M14:S14"/>
    <mergeCell ref="C15:D15"/>
    <mergeCell ref="E15:F15"/>
    <mergeCell ref="G15:H15"/>
    <mergeCell ref="N15:P15"/>
    <mergeCell ref="Q15:S15"/>
    <mergeCell ref="C16:D16"/>
    <mergeCell ref="E16:F16"/>
    <mergeCell ref="G16:H16"/>
    <mergeCell ref="N16:P16"/>
    <mergeCell ref="Q16:S16"/>
    <mergeCell ref="C17:D17"/>
    <mergeCell ref="E17:F17"/>
    <mergeCell ref="G17:H17"/>
    <mergeCell ref="N17:P17"/>
    <mergeCell ref="Q17:S17"/>
    <mergeCell ref="B18:H18"/>
    <mergeCell ref="N18:P18"/>
    <mergeCell ref="Q18:S18"/>
    <mergeCell ref="C19:E19"/>
    <mergeCell ref="F19:H19"/>
    <mergeCell ref="C20:E20"/>
    <mergeCell ref="F20:H20"/>
    <mergeCell ref="M20:S20"/>
    <mergeCell ref="C21:E21"/>
    <mergeCell ref="F21:H21"/>
    <mergeCell ref="N21:O21"/>
    <mergeCell ref="P21:Q21"/>
    <mergeCell ref="R21:S21"/>
    <mergeCell ref="C22:E22"/>
    <mergeCell ref="F22:H22"/>
    <mergeCell ref="N22:O22"/>
    <mergeCell ref="P22:Q22"/>
    <mergeCell ref="R22:S22"/>
    <mergeCell ref="B23:H23"/>
    <mergeCell ref="N23:O23"/>
    <mergeCell ref="P23:Q23"/>
    <mergeCell ref="R23:S23"/>
    <mergeCell ref="N24:O24"/>
    <mergeCell ref="P24:Q24"/>
    <mergeCell ref="R24:S24"/>
    <mergeCell ref="C25:E25"/>
    <mergeCell ref="F25:H25"/>
    <mergeCell ref="B2:H2"/>
    <mergeCell ref="L2:L25"/>
    <mergeCell ref="M2:S2"/>
    <mergeCell ref="B3:H3"/>
    <mergeCell ref="N3:S3"/>
    <mergeCell ref="F4:H4"/>
    <mergeCell ref="N6:S6"/>
    <mergeCell ref="C42:E42"/>
    <mergeCell ref="C44:E44"/>
    <mergeCell ref="C45:E45"/>
    <mergeCell ref="C46:E46"/>
    <mergeCell ref="C47:E47"/>
    <mergeCell ref="C49:D49"/>
    <mergeCell ref="C50:D50"/>
    <mergeCell ref="F44:H44"/>
    <mergeCell ref="F45:H45"/>
    <mergeCell ref="F46:H46"/>
    <mergeCell ref="F47:H47"/>
    <mergeCell ref="B48:H48"/>
    <mergeCell ref="E49:F49"/>
    <mergeCell ref="G49:H49"/>
    <mergeCell ref="C24:E24"/>
    <mergeCell ref="F24:H24"/>
    <mergeCell ref="C26:E26"/>
    <mergeCell ref="F26:H26"/>
    <mergeCell ref="C27:E27"/>
    <mergeCell ref="F27:H27"/>
    <mergeCell ref="B28:H28"/>
    <mergeCell ref="E31:F31"/>
    <mergeCell ref="G31:H31"/>
    <mergeCell ref="C29:D29"/>
    <mergeCell ref="E29:F29"/>
    <mergeCell ref="G29:H29"/>
    <mergeCell ref="C30:D30"/>
    <mergeCell ref="E30:F30"/>
    <mergeCell ref="G30:H30"/>
    <mergeCell ref="C31:D31"/>
    <mergeCell ref="C32:D32"/>
    <mergeCell ref="E32:F32"/>
    <mergeCell ref="G32:H32"/>
    <mergeCell ref="B33:H33"/>
    <mergeCell ref="C34:E34"/>
    <mergeCell ref="F34:H34"/>
    <mergeCell ref="F35:H35"/>
    <mergeCell ref="C35:E35"/>
    <mergeCell ref="C36:E36"/>
    <mergeCell ref="F36:H36"/>
    <mergeCell ref="C37:E37"/>
    <mergeCell ref="F37:H37"/>
    <mergeCell ref="B38:H38"/>
    <mergeCell ref="F39:H39"/>
    <mergeCell ref="C39:E39"/>
    <mergeCell ref="C40:E40"/>
    <mergeCell ref="F40:H40"/>
    <mergeCell ref="C41:E41"/>
    <mergeCell ref="F41:H41"/>
    <mergeCell ref="F42:H42"/>
    <mergeCell ref="B43:H43"/>
    <mergeCell ref="E52:F52"/>
    <mergeCell ref="B54:F54"/>
    <mergeCell ref="G54:H54"/>
    <mergeCell ref="E50:F50"/>
    <mergeCell ref="G50:H50"/>
    <mergeCell ref="C51:D51"/>
    <mergeCell ref="E51:F51"/>
    <mergeCell ref="G51:H51"/>
    <mergeCell ref="C52:D52"/>
    <mergeCell ref="G52:H52"/>
  </mergeCells>
  <conditionalFormatting sqref="F19 C34 F39">
    <cfRule type="expression" dxfId="1" priority="1">
      <formula>$L19=TRUE</formula>
    </cfRule>
  </conditionalFormatting>
  <conditionalFormatting sqref="N5 C6:H6 C11:H11 N11 R11 C16 E16:H16 N17 P17:R17 C21:H21 N23 P23 R23 C26:H26 C31:D31 C36:H36 C41:H41 C46:H46 C51:G51">
    <cfRule type="cellIs" dxfId="2" priority="2" operator="lessThanOrEqual">
      <formula>TODAY()-1</formula>
    </cfRule>
  </conditionalFormatting>
  <conditionalFormatting sqref="N5 C6:H6 C11:H11 N11 R11 C16 E16:H16 N17 P17:R17 C21 E21:H21 N23 P23 R23 C26:H26 C31 C36:H36 C41:H41 C46 E46:H46 C51 E51:G51">
    <cfRule type="cellIs" dxfId="3" priority="3" operator="lessThanOrEqual">
      <formula>TODAY()</formula>
    </cfRule>
  </conditionalFormatting>
  <conditionalFormatting sqref="N5 C6:H6 C11:G11 N11 R11 C16 E16:H16 N17 P17:R17 C21 E21:H21 N23 P23 R23 C26:H26 C31 C36:H36 C41:H41 C46 E46:G46 C51 E51:G51">
    <cfRule type="cellIs" dxfId="4" priority="4" operator="lessThanOrEqual">
      <formula>TODAY()+3</formula>
    </cfRule>
  </conditionalFormatting>
  <conditionalFormatting sqref="N5 C6:H6 C11:G11 N11 R11 C16 E16:H16 N17 P17:R17 C21 E21:H21 N23 P23 R23 C26:H26 C31 C36:H36 C41:H41 C46 E46:G46 C51 E51:G51">
    <cfRule type="cellIs" dxfId="5" priority="5" operator="lessThanOrEqual">
      <formula>TODAY()+8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9.38"/>
    <col customWidth="1" min="3" max="3" width="6.5"/>
    <col customWidth="1" min="4" max="4" width="11.88"/>
    <col customWidth="1" min="5" max="5" width="6.0"/>
    <col customWidth="1" min="6" max="6" width="10.5"/>
    <col customWidth="1" min="7" max="7" width="6.0"/>
    <col customWidth="1" min="8" max="8" width="9.88"/>
    <col customWidth="1" min="9" max="9" width="5.63"/>
    <col customWidth="1" min="10" max="10" width="7.0"/>
    <col customWidth="1" min="11" max="11" width="8.25"/>
    <col customWidth="1" min="12" max="12" width="4.5"/>
    <col customWidth="1" min="13" max="13" width="8.88" outlineLevel="1"/>
    <col customWidth="1" min="14" max="14" width="3.88" outlineLevel="1"/>
    <col customWidth="1" min="15" max="15" width="6.88" outlineLevel="1"/>
    <col customWidth="1" min="16" max="16" width="6.0" outlineLevel="1"/>
    <col customWidth="1" min="17" max="17" width="7.38" outlineLevel="1"/>
    <col customWidth="1" min="18" max="18" width="5.63" outlineLevel="1"/>
    <col customWidth="1" min="19" max="19" width="5.0" outlineLevel="1"/>
  </cols>
  <sheetData>
    <row r="1">
      <c r="A1" s="6" t="s">
        <v>356</v>
      </c>
    </row>
    <row r="2">
      <c r="B2" s="3" t="s">
        <v>358</v>
      </c>
      <c r="I2" s="8"/>
      <c r="J2" s="8"/>
      <c r="K2" s="8"/>
      <c r="L2" s="13" t="s">
        <v>17</v>
      </c>
      <c r="M2" s="16">
        <v>900.0</v>
      </c>
    </row>
    <row r="3">
      <c r="B3" s="9" t="s">
        <v>361</v>
      </c>
      <c r="C3" s="10"/>
      <c r="D3" s="10"/>
      <c r="E3" s="10"/>
      <c r="F3" s="10"/>
      <c r="G3" s="10"/>
      <c r="H3" s="12"/>
      <c r="I3" s="18"/>
      <c r="J3" s="18"/>
      <c r="K3" s="18"/>
      <c r="M3" s="20" t="s">
        <v>30</v>
      </c>
      <c r="N3" s="24"/>
      <c r="S3" s="26"/>
    </row>
    <row r="4">
      <c r="B4" s="27" t="s">
        <v>30</v>
      </c>
      <c r="C4" s="29" t="s">
        <v>159</v>
      </c>
      <c r="D4" s="26"/>
      <c r="E4" s="29"/>
      <c r="F4" s="26"/>
      <c r="G4" s="29"/>
      <c r="H4" s="26"/>
      <c r="I4" s="36"/>
      <c r="J4" s="36"/>
      <c r="K4" s="36"/>
      <c r="M4" s="20" t="s">
        <v>37</v>
      </c>
      <c r="N4" s="38">
        <v>45658.0</v>
      </c>
      <c r="S4" s="26"/>
    </row>
    <row r="5">
      <c r="B5" s="27" t="s">
        <v>37</v>
      </c>
      <c r="C5" s="38">
        <v>46204.0</v>
      </c>
      <c r="D5" s="26"/>
      <c r="E5" s="58"/>
      <c r="F5" s="26"/>
      <c r="G5" s="38"/>
      <c r="H5" s="26"/>
      <c r="I5" s="42"/>
      <c r="J5" s="46"/>
      <c r="K5" s="46"/>
      <c r="M5" s="20" t="s">
        <v>42</v>
      </c>
      <c r="N5" s="44">
        <v>45833.0</v>
      </c>
      <c r="S5" s="26"/>
    </row>
    <row r="6">
      <c r="B6" s="27" t="s">
        <v>42</v>
      </c>
      <c r="C6" s="44">
        <v>46234.0</v>
      </c>
      <c r="D6" s="26"/>
      <c r="E6" s="46"/>
      <c r="F6" s="26"/>
      <c r="G6" s="44"/>
      <c r="H6" s="26"/>
      <c r="I6" s="42"/>
      <c r="J6" s="42"/>
      <c r="K6" s="42"/>
      <c r="M6" s="20" t="s">
        <v>45</v>
      </c>
      <c r="N6" s="24"/>
      <c r="S6" s="26"/>
    </row>
    <row r="7">
      <c r="B7" s="27" t="s">
        <v>45</v>
      </c>
      <c r="C7" s="29">
        <v>300.0</v>
      </c>
      <c r="D7" s="26"/>
      <c r="E7" s="43"/>
      <c r="F7" s="26"/>
      <c r="G7" s="49"/>
      <c r="H7" s="52"/>
      <c r="I7" s="36"/>
      <c r="J7" s="36"/>
      <c r="K7" s="36"/>
    </row>
    <row r="8">
      <c r="B8" s="9" t="s">
        <v>365</v>
      </c>
      <c r="C8" s="10"/>
      <c r="D8" s="10"/>
      <c r="E8" s="10"/>
      <c r="F8" s="10"/>
      <c r="G8" s="10"/>
      <c r="H8" s="12"/>
      <c r="I8" s="18"/>
      <c r="J8" s="18"/>
      <c r="K8" s="18"/>
      <c r="M8" s="16">
        <v>600.0</v>
      </c>
    </row>
    <row r="9">
      <c r="B9" s="27" t="s">
        <v>30</v>
      </c>
      <c r="C9" s="33"/>
      <c r="E9" s="26"/>
      <c r="F9" s="110"/>
      <c r="H9" s="26"/>
      <c r="I9" s="36"/>
      <c r="J9" s="36"/>
      <c r="K9" s="36"/>
      <c r="M9" s="20" t="s">
        <v>30</v>
      </c>
      <c r="N9" s="24"/>
      <c r="Q9" s="26"/>
      <c r="R9" s="47"/>
      <c r="S9" s="26"/>
    </row>
    <row r="10">
      <c r="B10" s="27" t="s">
        <v>37</v>
      </c>
      <c r="C10" s="38"/>
      <c r="E10" s="26"/>
      <c r="F10" s="112"/>
      <c r="H10" s="26"/>
      <c r="I10" s="42"/>
      <c r="J10" s="42"/>
      <c r="K10" s="42"/>
      <c r="M10" s="20" t="s">
        <v>37</v>
      </c>
      <c r="N10" s="38">
        <v>45658.0</v>
      </c>
      <c r="Q10" s="26"/>
      <c r="R10" s="58">
        <v>45658.0</v>
      </c>
      <c r="S10" s="26"/>
    </row>
    <row r="11">
      <c r="B11" s="27" t="s">
        <v>42</v>
      </c>
      <c r="C11" s="44"/>
      <c r="E11" s="26"/>
      <c r="F11" s="79"/>
      <c r="H11" s="26"/>
      <c r="I11" s="42"/>
      <c r="J11" s="42"/>
      <c r="K11" s="42"/>
      <c r="M11" s="20" t="s">
        <v>42</v>
      </c>
      <c r="N11" s="44">
        <v>45658.0</v>
      </c>
      <c r="Q11" s="26"/>
      <c r="R11" s="46">
        <v>45658.0</v>
      </c>
      <c r="S11" s="26"/>
    </row>
    <row r="12">
      <c r="B12" s="27" t="s">
        <v>45</v>
      </c>
      <c r="C12" s="29"/>
      <c r="E12" s="26"/>
      <c r="F12" s="113"/>
      <c r="H12" s="26"/>
      <c r="I12" s="36"/>
      <c r="J12" s="36"/>
      <c r="K12" s="36"/>
      <c r="M12" s="20" t="s">
        <v>45</v>
      </c>
      <c r="N12" s="24"/>
      <c r="Q12" s="26"/>
      <c r="R12" s="47"/>
      <c r="S12" s="26"/>
    </row>
    <row r="13">
      <c r="B13" s="9" t="s">
        <v>371</v>
      </c>
      <c r="C13" s="10"/>
      <c r="D13" s="10"/>
      <c r="E13" s="10"/>
      <c r="F13" s="10"/>
      <c r="G13" s="10"/>
      <c r="H13" s="12"/>
      <c r="I13" s="18"/>
      <c r="J13" s="18"/>
      <c r="K13" s="18"/>
    </row>
    <row r="14">
      <c r="B14" s="27" t="s">
        <v>30</v>
      </c>
      <c r="C14" s="33" t="s">
        <v>118</v>
      </c>
      <c r="D14" s="26"/>
      <c r="E14" s="57" t="s">
        <v>75</v>
      </c>
      <c r="F14" s="26"/>
      <c r="G14" s="29" t="s">
        <v>159</v>
      </c>
      <c r="H14" s="26"/>
      <c r="I14" s="36"/>
      <c r="J14" s="36"/>
      <c r="K14" s="36"/>
      <c r="M14" s="16">
        <v>450.0</v>
      </c>
    </row>
    <row r="15">
      <c r="B15" s="27" t="s">
        <v>37</v>
      </c>
      <c r="C15" s="38">
        <v>46182.0</v>
      </c>
      <c r="D15" s="26"/>
      <c r="E15" s="58">
        <v>46185.0</v>
      </c>
      <c r="F15" s="26"/>
      <c r="G15" s="38">
        <v>46189.0</v>
      </c>
      <c r="H15" s="26"/>
      <c r="I15" s="42"/>
      <c r="J15" s="42"/>
      <c r="K15" s="42"/>
      <c r="M15" s="20" t="s">
        <v>30</v>
      </c>
      <c r="N15" s="24"/>
      <c r="P15" s="26"/>
      <c r="Q15" s="47"/>
      <c r="S15" s="26"/>
    </row>
    <row r="16">
      <c r="B16" s="27" t="s">
        <v>42</v>
      </c>
      <c r="C16" s="44">
        <v>46211.0</v>
      </c>
      <c r="D16" s="26"/>
      <c r="E16" s="46">
        <v>46246.0</v>
      </c>
      <c r="F16" s="26"/>
      <c r="G16" s="44">
        <v>46203.0</v>
      </c>
      <c r="H16" s="26"/>
      <c r="I16" s="42"/>
      <c r="J16" s="42"/>
      <c r="K16" s="42"/>
      <c r="M16" s="20" t="s">
        <v>37</v>
      </c>
      <c r="N16" s="38">
        <v>45658.0</v>
      </c>
      <c r="P16" s="26"/>
      <c r="Q16" s="58">
        <v>45658.0</v>
      </c>
      <c r="S16" s="26"/>
    </row>
    <row r="17">
      <c r="B17" s="27" t="s">
        <v>45</v>
      </c>
      <c r="C17" s="29">
        <v>300.0</v>
      </c>
      <c r="D17" s="26"/>
      <c r="E17" s="43">
        <v>300.0</v>
      </c>
      <c r="F17" s="26"/>
      <c r="G17" s="49">
        <v>300.0</v>
      </c>
      <c r="H17" s="52"/>
      <c r="I17" s="68" t="s">
        <v>374</v>
      </c>
      <c r="J17" s="36"/>
      <c r="K17" s="36"/>
      <c r="M17" s="20" t="s">
        <v>42</v>
      </c>
      <c r="N17" s="44">
        <v>45658.0</v>
      </c>
      <c r="P17" s="26"/>
      <c r="Q17" s="46">
        <v>45658.0</v>
      </c>
      <c r="S17" s="26"/>
    </row>
    <row r="18">
      <c r="B18" s="9" t="s">
        <v>375</v>
      </c>
      <c r="C18" s="10"/>
      <c r="D18" s="10"/>
      <c r="E18" s="10"/>
      <c r="F18" s="10"/>
      <c r="G18" s="10"/>
      <c r="H18" s="12"/>
      <c r="I18" s="18"/>
      <c r="J18" s="18"/>
      <c r="K18" s="18"/>
      <c r="M18" s="20" t="s">
        <v>45</v>
      </c>
      <c r="N18" s="24"/>
      <c r="P18" s="26"/>
      <c r="Q18" s="47"/>
      <c r="S18" s="26"/>
    </row>
    <row r="19">
      <c r="B19" s="27" t="s">
        <v>30</v>
      </c>
      <c r="C19" s="29"/>
      <c r="H19" s="26"/>
      <c r="I19" s="36"/>
      <c r="J19" s="36"/>
      <c r="K19" s="36"/>
    </row>
    <row r="20">
      <c r="B20" s="27" t="s">
        <v>37</v>
      </c>
      <c r="C20" s="38"/>
      <c r="H20" s="26"/>
      <c r="I20" s="42"/>
      <c r="J20" s="42"/>
      <c r="K20" s="42"/>
      <c r="M20" s="16">
        <v>300.0</v>
      </c>
    </row>
    <row r="21">
      <c r="B21" s="27" t="s">
        <v>42</v>
      </c>
      <c r="C21" s="44"/>
      <c r="H21" s="26"/>
      <c r="I21" s="42"/>
      <c r="J21" s="42"/>
      <c r="K21" s="42"/>
      <c r="M21" s="20" t="s">
        <v>30</v>
      </c>
      <c r="N21" s="24"/>
      <c r="O21" s="26"/>
      <c r="P21" s="47"/>
      <c r="Q21" s="26"/>
      <c r="R21" s="47"/>
      <c r="S21" s="26"/>
    </row>
    <row r="22">
      <c r="B22" s="27" t="s">
        <v>45</v>
      </c>
      <c r="C22" s="29"/>
      <c r="H22" s="26"/>
      <c r="I22" s="36"/>
      <c r="J22" s="36"/>
      <c r="K22" s="36"/>
      <c r="M22" s="20" t="s">
        <v>37</v>
      </c>
      <c r="N22" s="38">
        <v>45658.0</v>
      </c>
      <c r="O22" s="26"/>
      <c r="P22" s="58">
        <v>45658.0</v>
      </c>
      <c r="Q22" s="26"/>
      <c r="R22" s="58">
        <v>45658.0</v>
      </c>
      <c r="S22" s="26"/>
    </row>
    <row r="23">
      <c r="B23" s="9" t="s">
        <v>376</v>
      </c>
      <c r="C23" s="10"/>
      <c r="D23" s="10"/>
      <c r="E23" s="10"/>
      <c r="F23" s="10"/>
      <c r="G23" s="10"/>
      <c r="H23" s="12"/>
      <c r="I23" s="18"/>
      <c r="J23" s="18"/>
      <c r="K23" s="18"/>
      <c r="M23" s="20" t="s">
        <v>42</v>
      </c>
      <c r="N23" s="44">
        <v>45658.0</v>
      </c>
      <c r="O23" s="26"/>
      <c r="P23" s="46">
        <v>45658.0</v>
      </c>
      <c r="Q23" s="26"/>
      <c r="R23" s="46">
        <v>45658.0</v>
      </c>
      <c r="S23" s="26"/>
    </row>
    <row r="24">
      <c r="B24" s="27" t="s">
        <v>30</v>
      </c>
      <c r="C24" s="29" t="s">
        <v>235</v>
      </c>
      <c r="E24" s="26"/>
      <c r="F24" s="33" t="s">
        <v>323</v>
      </c>
      <c r="H24" s="26"/>
      <c r="I24" s="36"/>
      <c r="J24" s="36"/>
      <c r="K24" s="36"/>
      <c r="M24" s="20" t="s">
        <v>45</v>
      </c>
      <c r="N24" s="24"/>
      <c r="O24" s="26"/>
      <c r="P24" s="47"/>
      <c r="Q24" s="26"/>
      <c r="R24" s="47"/>
      <c r="S24" s="26"/>
    </row>
    <row r="25">
      <c r="B25" s="27" t="s">
        <v>37</v>
      </c>
      <c r="C25" s="38">
        <v>46200.0</v>
      </c>
      <c r="E25" s="26"/>
      <c r="F25" s="38">
        <v>46199.0</v>
      </c>
      <c r="H25" s="26"/>
      <c r="I25" s="36"/>
      <c r="J25" s="36"/>
      <c r="K25" s="36"/>
    </row>
    <row r="26">
      <c r="B26" s="27" t="s">
        <v>42</v>
      </c>
      <c r="C26" s="44">
        <v>46206.0</v>
      </c>
      <c r="E26" s="26"/>
      <c r="F26" s="44">
        <v>46223.0</v>
      </c>
      <c r="H26" s="26"/>
      <c r="I26" s="36"/>
      <c r="J26" s="36"/>
      <c r="K26" s="36"/>
      <c r="L26" s="71"/>
    </row>
    <row r="27">
      <c r="B27" s="27" t="s">
        <v>45</v>
      </c>
      <c r="C27" s="29">
        <v>450.0</v>
      </c>
      <c r="E27" s="26"/>
      <c r="F27" s="29">
        <v>450.0</v>
      </c>
      <c r="H27" s="26"/>
      <c r="I27" s="36"/>
      <c r="J27" s="36"/>
      <c r="K27" s="36"/>
      <c r="L27" s="71"/>
    </row>
    <row r="28">
      <c r="B28" s="9" t="s">
        <v>377</v>
      </c>
      <c r="C28" s="10"/>
      <c r="D28" s="10"/>
      <c r="E28" s="10"/>
      <c r="F28" s="10"/>
      <c r="G28" s="10"/>
      <c r="H28" s="12"/>
      <c r="I28" s="18"/>
      <c r="J28" s="18"/>
      <c r="K28" s="18"/>
      <c r="L28" s="71"/>
    </row>
    <row r="29">
      <c r="B29" s="27" t="s">
        <v>30</v>
      </c>
      <c r="C29" s="29" t="s">
        <v>55</v>
      </c>
      <c r="E29" s="26"/>
      <c r="F29" s="107" t="s">
        <v>362</v>
      </c>
      <c r="G29" s="26"/>
      <c r="H29" s="115"/>
      <c r="I29" s="36"/>
      <c r="J29" s="36"/>
      <c r="K29" s="36"/>
      <c r="L29" s="71"/>
    </row>
    <row r="30">
      <c r="B30" s="27" t="s">
        <v>37</v>
      </c>
      <c r="C30" s="38">
        <v>46184.0</v>
      </c>
      <c r="E30" s="26"/>
      <c r="F30" s="38">
        <v>46188.0</v>
      </c>
      <c r="G30" s="26"/>
      <c r="H30" s="116"/>
      <c r="I30" s="36"/>
      <c r="J30" s="36"/>
      <c r="K30" s="36"/>
      <c r="L30" s="71"/>
    </row>
    <row r="31">
      <c r="B31" s="27" t="s">
        <v>42</v>
      </c>
      <c r="C31" s="44">
        <v>46203.0</v>
      </c>
      <c r="E31" s="26"/>
      <c r="F31" s="38">
        <v>46196.0</v>
      </c>
      <c r="G31" s="26"/>
      <c r="H31" s="117"/>
      <c r="I31" s="36"/>
      <c r="J31" s="36"/>
      <c r="K31" s="36"/>
      <c r="L31" s="71"/>
    </row>
    <row r="32">
      <c r="B32" s="27" t="s">
        <v>45</v>
      </c>
      <c r="C32" s="29">
        <v>450.0</v>
      </c>
      <c r="E32" s="26"/>
      <c r="F32" s="29">
        <v>300.0</v>
      </c>
      <c r="G32" s="26"/>
      <c r="H32" s="115"/>
      <c r="I32" s="36"/>
      <c r="J32" s="36"/>
      <c r="K32" s="36"/>
      <c r="L32" s="71"/>
    </row>
    <row r="33">
      <c r="B33" s="9" t="s">
        <v>378</v>
      </c>
      <c r="C33" s="10"/>
      <c r="D33" s="10"/>
      <c r="E33" s="10"/>
      <c r="F33" s="10"/>
      <c r="G33" s="10"/>
      <c r="H33" s="12"/>
      <c r="I33" s="18"/>
      <c r="J33" s="18"/>
      <c r="K33" s="18"/>
      <c r="L33" s="71"/>
    </row>
    <row r="34">
      <c r="B34" s="27" t="s">
        <v>30</v>
      </c>
      <c r="C34" s="33" t="s">
        <v>140</v>
      </c>
      <c r="E34" s="26"/>
      <c r="F34" s="43" t="s">
        <v>108</v>
      </c>
      <c r="H34" s="26"/>
      <c r="I34" s="36"/>
      <c r="J34" s="36"/>
      <c r="K34" s="36"/>
      <c r="L34" s="71"/>
    </row>
    <row r="35">
      <c r="B35" s="27" t="s">
        <v>37</v>
      </c>
      <c r="C35" s="38">
        <v>46246.0</v>
      </c>
      <c r="E35" s="26"/>
      <c r="F35" s="38">
        <v>46249.0</v>
      </c>
      <c r="H35" s="26"/>
      <c r="I35" s="36"/>
      <c r="J35" s="36"/>
      <c r="K35" s="36"/>
      <c r="L35" s="71"/>
    </row>
    <row r="36">
      <c r="B36" s="27" t="s">
        <v>42</v>
      </c>
      <c r="C36" s="44">
        <v>46265.0</v>
      </c>
      <c r="E36" s="26"/>
      <c r="F36" s="44">
        <v>46643.0</v>
      </c>
      <c r="H36" s="26"/>
      <c r="I36" s="36"/>
      <c r="J36" s="36"/>
      <c r="K36" s="36"/>
      <c r="L36" s="71"/>
    </row>
    <row r="37">
      <c r="B37" s="27" t="s">
        <v>45</v>
      </c>
      <c r="C37" s="29">
        <v>300.0</v>
      </c>
      <c r="E37" s="26"/>
      <c r="F37" s="29">
        <v>450.0</v>
      </c>
      <c r="H37" s="26"/>
      <c r="I37" s="36"/>
      <c r="J37" s="36"/>
      <c r="K37" s="36"/>
      <c r="L37" s="71"/>
    </row>
    <row r="38">
      <c r="B38" s="9" t="s">
        <v>379</v>
      </c>
      <c r="C38" s="10"/>
      <c r="D38" s="10"/>
      <c r="E38" s="10"/>
      <c r="F38" s="10"/>
      <c r="G38" s="10"/>
      <c r="H38" s="12"/>
      <c r="I38" s="18"/>
      <c r="J38" s="18"/>
      <c r="K38" s="18"/>
      <c r="L38" s="71"/>
    </row>
    <row r="39">
      <c r="B39" s="27" t="s">
        <v>30</v>
      </c>
      <c r="C39" s="29" t="s">
        <v>360</v>
      </c>
      <c r="D39" s="26"/>
      <c r="E39" s="33" t="s">
        <v>380</v>
      </c>
      <c r="G39" s="26"/>
      <c r="H39" s="72"/>
      <c r="I39" s="36"/>
      <c r="J39" s="36"/>
      <c r="K39" s="36"/>
      <c r="L39" s="71"/>
    </row>
    <row r="40">
      <c r="B40" s="27" t="s">
        <v>37</v>
      </c>
      <c r="C40" s="38">
        <v>46192.0</v>
      </c>
      <c r="D40" s="26"/>
      <c r="E40" s="38">
        <v>46204.0</v>
      </c>
      <c r="G40" s="26"/>
      <c r="H40" s="116"/>
      <c r="I40" s="36"/>
      <c r="J40" s="36"/>
      <c r="K40" s="36"/>
      <c r="L40" s="71"/>
    </row>
    <row r="41">
      <c r="B41" s="27" t="s">
        <v>42</v>
      </c>
      <c r="C41" s="44">
        <v>46206.0</v>
      </c>
      <c r="D41" s="26"/>
      <c r="E41" s="44">
        <v>46218.0</v>
      </c>
      <c r="G41" s="26"/>
      <c r="H41" s="117"/>
      <c r="I41" s="36"/>
      <c r="J41" s="36"/>
      <c r="K41" s="36"/>
      <c r="L41" s="71"/>
    </row>
    <row r="42">
      <c r="B42" s="27" t="s">
        <v>45</v>
      </c>
      <c r="C42" s="29">
        <v>300.0</v>
      </c>
      <c r="D42" s="26"/>
      <c r="E42" s="29">
        <v>300.0</v>
      </c>
      <c r="G42" s="26"/>
      <c r="H42" s="118"/>
      <c r="I42" s="36"/>
      <c r="J42" s="36"/>
      <c r="K42" s="36"/>
      <c r="L42" s="71"/>
    </row>
    <row r="43">
      <c r="B43" s="9" t="s">
        <v>381</v>
      </c>
      <c r="C43" s="10"/>
      <c r="D43" s="10"/>
      <c r="E43" s="10"/>
      <c r="F43" s="10"/>
      <c r="G43" s="10"/>
      <c r="H43" s="12"/>
      <c r="I43" s="18"/>
      <c r="J43" s="18"/>
      <c r="K43" s="18"/>
      <c r="L43" s="71"/>
    </row>
    <row r="44">
      <c r="B44" s="27" t="s">
        <v>30</v>
      </c>
      <c r="C44" s="29"/>
      <c r="E44" s="26"/>
      <c r="F44" s="43"/>
      <c r="H44" s="26"/>
      <c r="I44" s="36"/>
      <c r="J44" s="36"/>
      <c r="K44" s="36"/>
      <c r="L44" s="71"/>
    </row>
    <row r="45">
      <c r="B45" s="27" t="s">
        <v>37</v>
      </c>
      <c r="C45" s="38"/>
      <c r="E45" s="26"/>
      <c r="F45" s="58"/>
      <c r="H45" s="26"/>
      <c r="I45" s="36"/>
      <c r="J45" s="36"/>
      <c r="K45" s="36"/>
      <c r="L45" s="71"/>
    </row>
    <row r="46">
      <c r="B46" s="27" t="s">
        <v>42</v>
      </c>
      <c r="C46" s="44"/>
      <c r="E46" s="26"/>
      <c r="F46" s="44"/>
      <c r="H46" s="26"/>
      <c r="I46" s="36"/>
      <c r="J46" s="36"/>
      <c r="K46" s="36"/>
      <c r="L46" s="71"/>
    </row>
    <row r="47">
      <c r="B47" s="27" t="s">
        <v>45</v>
      </c>
      <c r="C47" s="49"/>
      <c r="D47" s="53"/>
      <c r="E47" s="52"/>
      <c r="F47" s="43"/>
      <c r="H47" s="26"/>
      <c r="I47" s="36"/>
      <c r="J47" s="36"/>
      <c r="K47" s="36"/>
      <c r="L47" s="71"/>
    </row>
    <row r="48">
      <c r="B48" s="9" t="s">
        <v>382</v>
      </c>
      <c r="C48" s="10"/>
      <c r="D48" s="10"/>
      <c r="E48" s="10"/>
      <c r="F48" s="10"/>
      <c r="G48" s="10"/>
      <c r="H48" s="12"/>
      <c r="I48" s="18"/>
      <c r="J48" s="18"/>
      <c r="K48" s="18"/>
      <c r="L48" s="71"/>
    </row>
    <row r="49">
      <c r="B49" s="40" t="s">
        <v>30</v>
      </c>
      <c r="C49" s="119"/>
      <c r="D49" s="56"/>
      <c r="E49" s="119"/>
      <c r="F49" s="56"/>
      <c r="G49" s="119"/>
      <c r="H49" s="56"/>
      <c r="I49" s="36"/>
      <c r="J49" s="36"/>
      <c r="K49" s="36"/>
      <c r="L49" s="71"/>
    </row>
    <row r="50">
      <c r="B50" s="40" t="s">
        <v>37</v>
      </c>
      <c r="C50" s="120"/>
      <c r="D50" s="26"/>
      <c r="E50" s="121"/>
      <c r="F50" s="26"/>
      <c r="G50" s="121"/>
      <c r="H50" s="26"/>
      <c r="I50" s="36"/>
      <c r="J50" s="36"/>
      <c r="K50" s="36"/>
      <c r="L50" s="71"/>
    </row>
    <row r="51">
      <c r="B51" s="40" t="s">
        <v>42</v>
      </c>
      <c r="C51" s="120"/>
      <c r="D51" s="26"/>
      <c r="E51" s="121"/>
      <c r="F51" s="26"/>
      <c r="G51" s="121"/>
      <c r="H51" s="26"/>
      <c r="I51" s="36"/>
      <c r="J51" s="36"/>
      <c r="K51" s="36"/>
      <c r="L51" s="71"/>
    </row>
    <row r="52">
      <c r="B52" s="48" t="s">
        <v>45</v>
      </c>
      <c r="C52" s="122"/>
      <c r="D52" s="52"/>
      <c r="E52" s="122"/>
      <c r="F52" s="52"/>
      <c r="G52" s="122"/>
      <c r="H52" s="52"/>
      <c r="I52" s="36"/>
      <c r="J52" s="36"/>
      <c r="K52" s="36"/>
      <c r="L52" s="71"/>
    </row>
    <row r="53">
      <c r="I53" s="36"/>
      <c r="J53" s="36"/>
      <c r="K53" s="36"/>
      <c r="L53" s="71"/>
    </row>
    <row r="54">
      <c r="B54" s="3" t="s">
        <v>186</v>
      </c>
      <c r="G54" s="3" t="str">
        <f>SUM(C7,C12,F12,C17,F17,C22,E22,G22,C27,E27,G27,C32,#REF!,#REF!,C37,F37,C47,F47,C52,E52,G52)</f>
        <v>#REF!</v>
      </c>
      <c r="I54" s="36"/>
      <c r="J54" s="36"/>
      <c r="K54" s="36"/>
      <c r="L54" s="71"/>
    </row>
    <row r="55">
      <c r="I55" s="36"/>
      <c r="J55" s="36"/>
      <c r="K55" s="36"/>
    </row>
  </sheetData>
  <mergeCells count="138">
    <mergeCell ref="N3:S3"/>
    <mergeCell ref="N4:S4"/>
    <mergeCell ref="C5:D5"/>
    <mergeCell ref="E5:F5"/>
    <mergeCell ref="G5:H5"/>
    <mergeCell ref="N5:S5"/>
    <mergeCell ref="C6:D6"/>
    <mergeCell ref="E6:F6"/>
    <mergeCell ref="G6:H6"/>
    <mergeCell ref="N6:S6"/>
    <mergeCell ref="C7:D7"/>
    <mergeCell ref="E7:F7"/>
    <mergeCell ref="G7:H7"/>
    <mergeCell ref="B8:H8"/>
    <mergeCell ref="M8:S8"/>
    <mergeCell ref="N9:Q9"/>
    <mergeCell ref="R9:S9"/>
    <mergeCell ref="C10:E10"/>
    <mergeCell ref="F10:H10"/>
    <mergeCell ref="N10:Q10"/>
    <mergeCell ref="R10:S10"/>
    <mergeCell ref="C11:E11"/>
    <mergeCell ref="F11:H11"/>
    <mergeCell ref="N11:Q11"/>
    <mergeCell ref="R11:S11"/>
    <mergeCell ref="C12:E12"/>
    <mergeCell ref="F12:H12"/>
    <mergeCell ref="N12:Q12"/>
    <mergeCell ref="R12:S12"/>
    <mergeCell ref="C4:D4"/>
    <mergeCell ref="C9:E9"/>
    <mergeCell ref="B13:H13"/>
    <mergeCell ref="C14:D14"/>
    <mergeCell ref="E14:F14"/>
    <mergeCell ref="G14:H14"/>
    <mergeCell ref="M14:S14"/>
    <mergeCell ref="C15:D15"/>
    <mergeCell ref="E15:F15"/>
    <mergeCell ref="G15:H15"/>
    <mergeCell ref="N15:P15"/>
    <mergeCell ref="Q15:S15"/>
    <mergeCell ref="C16:D16"/>
    <mergeCell ref="E16:F16"/>
    <mergeCell ref="G16:H16"/>
    <mergeCell ref="N16:P16"/>
    <mergeCell ref="Q16:S16"/>
    <mergeCell ref="C17:D17"/>
    <mergeCell ref="E17:F17"/>
    <mergeCell ref="G17:H17"/>
    <mergeCell ref="N17:P17"/>
    <mergeCell ref="Q17:S17"/>
    <mergeCell ref="B18:H18"/>
    <mergeCell ref="N18:P18"/>
    <mergeCell ref="C20:H20"/>
    <mergeCell ref="M20:S20"/>
    <mergeCell ref="C21:H21"/>
    <mergeCell ref="N21:O21"/>
    <mergeCell ref="P21:Q21"/>
    <mergeCell ref="R21:S21"/>
    <mergeCell ref="C22:H22"/>
    <mergeCell ref="N22:O22"/>
    <mergeCell ref="P22:Q22"/>
    <mergeCell ref="R22:S22"/>
    <mergeCell ref="B23:H23"/>
    <mergeCell ref="N23:O23"/>
    <mergeCell ref="P23:Q23"/>
    <mergeCell ref="R23:S23"/>
    <mergeCell ref="C32:E32"/>
    <mergeCell ref="B33:H33"/>
    <mergeCell ref="C34:E34"/>
    <mergeCell ref="F34:H34"/>
    <mergeCell ref="C35:E35"/>
    <mergeCell ref="F35:H35"/>
    <mergeCell ref="F36:H36"/>
    <mergeCell ref="C36:E36"/>
    <mergeCell ref="C37:E37"/>
    <mergeCell ref="F37:H37"/>
    <mergeCell ref="B38:H38"/>
    <mergeCell ref="C39:D39"/>
    <mergeCell ref="E39:G39"/>
    <mergeCell ref="E40:G40"/>
    <mergeCell ref="C42:D42"/>
    <mergeCell ref="E42:G42"/>
    <mergeCell ref="B43:H43"/>
    <mergeCell ref="C44:E44"/>
    <mergeCell ref="F44:H44"/>
    <mergeCell ref="C45:E45"/>
    <mergeCell ref="F45:H45"/>
    <mergeCell ref="C46:E46"/>
    <mergeCell ref="F46:H46"/>
    <mergeCell ref="C47:E47"/>
    <mergeCell ref="F47:H47"/>
    <mergeCell ref="B48:H48"/>
    <mergeCell ref="E49:F49"/>
    <mergeCell ref="G49:H49"/>
    <mergeCell ref="C52:D52"/>
    <mergeCell ref="E52:F52"/>
    <mergeCell ref="G52:H52"/>
    <mergeCell ref="B54:F54"/>
    <mergeCell ref="G54:H54"/>
    <mergeCell ref="C49:D49"/>
    <mergeCell ref="C50:D50"/>
    <mergeCell ref="E50:F50"/>
    <mergeCell ref="G50:H50"/>
    <mergeCell ref="C51:D51"/>
    <mergeCell ref="E51:F51"/>
    <mergeCell ref="G51:H51"/>
    <mergeCell ref="Q18:S18"/>
    <mergeCell ref="C19:H19"/>
    <mergeCell ref="N24:O24"/>
    <mergeCell ref="P24:Q24"/>
    <mergeCell ref="R24:S24"/>
    <mergeCell ref="C25:E25"/>
    <mergeCell ref="F25:H25"/>
    <mergeCell ref="B2:H2"/>
    <mergeCell ref="L2:L25"/>
    <mergeCell ref="M2:S2"/>
    <mergeCell ref="B3:H3"/>
    <mergeCell ref="E4:F4"/>
    <mergeCell ref="G4:H4"/>
    <mergeCell ref="F9:H9"/>
    <mergeCell ref="C24:E24"/>
    <mergeCell ref="F24:H24"/>
    <mergeCell ref="C26:E26"/>
    <mergeCell ref="F26:H26"/>
    <mergeCell ref="C27:E27"/>
    <mergeCell ref="F27:H27"/>
    <mergeCell ref="B28:H28"/>
    <mergeCell ref="C29:E29"/>
    <mergeCell ref="F29:G29"/>
    <mergeCell ref="C30:E30"/>
    <mergeCell ref="F30:G30"/>
    <mergeCell ref="C31:E31"/>
    <mergeCell ref="F31:G31"/>
    <mergeCell ref="F32:G32"/>
    <mergeCell ref="C40:D40"/>
    <mergeCell ref="C41:D41"/>
    <mergeCell ref="E41:G41"/>
  </mergeCells>
  <conditionalFormatting sqref="C24 C34">
    <cfRule type="expression" dxfId="1" priority="1">
      <formula>$L24=TRUE</formula>
    </cfRule>
  </conditionalFormatting>
  <conditionalFormatting sqref="N5 C6:H6 C11:G11 N11 R11 C16:H16 N17 P17:R17 C21:H21 N23 P23 R23 C26:H26 C31:E31 C36:H36 C41 E41:H41 C46:D46">
    <cfRule type="cellIs" dxfId="2" priority="2" operator="lessThanOrEqual">
      <formula>TODAY()-1</formula>
    </cfRule>
  </conditionalFormatting>
  <conditionalFormatting sqref="N5 C6:H6 C11:G11 N11 R11 C16:H16 N17 P17:R17 C21:H21 N23 P23 R23 C26:H26 C31:E31 C36:H36 C41 E41:H41 C46:D46">
    <cfRule type="cellIs" dxfId="3" priority="3" operator="lessThanOrEqual">
      <formula>TODAY()</formula>
    </cfRule>
  </conditionalFormatting>
  <conditionalFormatting sqref="N5 C6:H6 C11:G11 N11 R11 C16:H16 N17 P17:R17 C21:G21 N23 P23 R23 C26:H26 C31:E31 C36:H36 C41 E41:H41 C46:D46">
    <cfRule type="cellIs" dxfId="4" priority="4" operator="lessThanOrEqual">
      <formula>TODAY()+3</formula>
    </cfRule>
  </conditionalFormatting>
  <conditionalFormatting sqref="N5 C6:H6 C11:G11 N11 R11 C16:H16 N17 P17:R17 C21:G21 N23 P23 R23 C26:H26 C31:E31 C36:H36 C41 E41:H41 C46:D46">
    <cfRule type="cellIs" dxfId="5" priority="5" operator="lessThanOrEqual">
      <formula>TODAY()+8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9.38"/>
    <col customWidth="1" min="3" max="3" width="6.5"/>
    <col customWidth="1" min="4" max="4" width="11.88"/>
    <col customWidth="1" min="5" max="5" width="6.0"/>
    <col customWidth="1" min="6" max="6" width="10.5"/>
    <col customWidth="1" min="7" max="7" width="6.0"/>
    <col customWidth="1" min="8" max="8" width="9.88"/>
    <col customWidth="1" min="9" max="9" width="5.63"/>
    <col customWidth="1" min="10" max="10" width="7.0"/>
    <col customWidth="1" min="11" max="11" width="8.25"/>
    <col customWidth="1" min="12" max="12" width="4.5"/>
    <col customWidth="1" min="13" max="13" width="8.88" outlineLevel="1"/>
    <col customWidth="1" min="14" max="14" width="3.88" outlineLevel="1"/>
    <col customWidth="1" min="15" max="15" width="6.88" outlineLevel="1"/>
    <col customWidth="1" min="16" max="16" width="6.0" outlineLevel="1"/>
    <col customWidth="1" min="17" max="17" width="7.38" outlineLevel="1"/>
    <col customWidth="1" min="18" max="18" width="5.63" outlineLevel="1"/>
    <col customWidth="1" min="19" max="19" width="5.0" outlineLevel="1"/>
  </cols>
  <sheetData>
    <row r="1">
      <c r="A1" s="6" t="s">
        <v>356</v>
      </c>
    </row>
    <row r="2">
      <c r="B2" s="3" t="s">
        <v>383</v>
      </c>
      <c r="I2" s="8"/>
      <c r="J2" s="8"/>
      <c r="K2" s="8"/>
      <c r="L2" s="13" t="s">
        <v>17</v>
      </c>
      <c r="M2" s="16">
        <v>900.0</v>
      </c>
    </row>
    <row r="3">
      <c r="B3" s="9" t="s">
        <v>361</v>
      </c>
      <c r="C3" s="10"/>
      <c r="D3" s="10"/>
      <c r="E3" s="10"/>
      <c r="F3" s="10"/>
      <c r="G3" s="10"/>
      <c r="H3" s="12"/>
      <c r="I3" s="18"/>
      <c r="J3" s="18"/>
      <c r="K3" s="18"/>
      <c r="M3" s="20" t="s">
        <v>30</v>
      </c>
      <c r="N3" s="24"/>
      <c r="S3" s="26"/>
    </row>
    <row r="4">
      <c r="B4" s="27" t="s">
        <v>30</v>
      </c>
      <c r="C4" s="29" t="s">
        <v>245</v>
      </c>
      <c r="D4" s="26"/>
      <c r="E4" s="57" t="s">
        <v>75</v>
      </c>
      <c r="F4" s="26"/>
      <c r="G4" s="29" t="s">
        <v>159</v>
      </c>
      <c r="H4" s="26"/>
      <c r="I4" s="36"/>
      <c r="J4" s="36"/>
      <c r="K4" s="36"/>
      <c r="M4" s="20" t="s">
        <v>37</v>
      </c>
      <c r="N4" s="38">
        <v>45658.0</v>
      </c>
      <c r="S4" s="26"/>
    </row>
    <row r="5">
      <c r="B5" s="27" t="s">
        <v>37</v>
      </c>
      <c r="C5" s="38"/>
      <c r="D5" s="26"/>
      <c r="E5" s="58">
        <v>46185.0</v>
      </c>
      <c r="F5" s="26"/>
      <c r="G5" s="38">
        <v>46174.0</v>
      </c>
      <c r="H5" s="26"/>
      <c r="I5" s="42"/>
      <c r="J5" s="46"/>
      <c r="K5" s="46"/>
      <c r="M5" s="20" t="s">
        <v>42</v>
      </c>
      <c r="N5" s="44">
        <v>45833.0</v>
      </c>
      <c r="S5" s="26"/>
    </row>
    <row r="6">
      <c r="B6" s="27" t="s">
        <v>42</v>
      </c>
      <c r="C6" s="44"/>
      <c r="D6" s="26"/>
      <c r="E6" s="46">
        <v>46246.0</v>
      </c>
      <c r="F6" s="26"/>
      <c r="G6" s="44">
        <v>46265.0</v>
      </c>
      <c r="H6" s="26"/>
      <c r="I6" s="42"/>
      <c r="J6" s="42"/>
      <c r="K6" s="42"/>
      <c r="M6" s="20" t="s">
        <v>45</v>
      </c>
      <c r="N6" s="24"/>
      <c r="S6" s="26"/>
    </row>
    <row r="7">
      <c r="B7" s="27" t="s">
        <v>45</v>
      </c>
      <c r="C7" s="29"/>
      <c r="D7" s="26"/>
      <c r="E7" s="43">
        <v>300.0</v>
      </c>
      <c r="F7" s="26"/>
      <c r="G7" s="49">
        <v>300.0</v>
      </c>
      <c r="H7" s="52"/>
      <c r="I7" s="36"/>
      <c r="J7" s="36"/>
      <c r="K7" s="36"/>
    </row>
    <row r="8">
      <c r="B8" s="9" t="s">
        <v>365</v>
      </c>
      <c r="C8" s="10"/>
      <c r="D8" s="10"/>
      <c r="E8" s="10"/>
      <c r="F8" s="10"/>
      <c r="G8" s="10"/>
      <c r="H8" s="12"/>
      <c r="I8" s="18"/>
      <c r="J8" s="18"/>
      <c r="K8" s="18"/>
      <c r="M8" s="16">
        <v>600.0</v>
      </c>
    </row>
    <row r="9">
      <c r="B9" s="27" t="s">
        <v>30</v>
      </c>
      <c r="C9" s="33" t="s">
        <v>384</v>
      </c>
      <c r="E9" s="26"/>
      <c r="F9" s="110" t="s">
        <v>220</v>
      </c>
      <c r="H9" s="26"/>
      <c r="I9" s="36"/>
      <c r="J9" s="36"/>
      <c r="K9" s="36"/>
      <c r="M9" s="20" t="s">
        <v>30</v>
      </c>
      <c r="N9" s="24"/>
      <c r="Q9" s="26"/>
      <c r="R9" s="47"/>
      <c r="S9" s="26"/>
    </row>
    <row r="10">
      <c r="B10" s="27" t="s">
        <v>37</v>
      </c>
      <c r="C10" s="38">
        <v>46254.0</v>
      </c>
      <c r="E10" s="26"/>
      <c r="F10" s="112">
        <v>46204.0</v>
      </c>
      <c r="H10" s="26"/>
      <c r="I10" s="42"/>
      <c r="J10" s="42"/>
      <c r="K10" s="42"/>
      <c r="M10" s="20" t="s">
        <v>37</v>
      </c>
      <c r="N10" s="38">
        <v>45658.0</v>
      </c>
      <c r="Q10" s="26"/>
      <c r="R10" s="58">
        <v>45658.0</v>
      </c>
      <c r="S10" s="26"/>
    </row>
    <row r="11">
      <c r="B11" s="27" t="s">
        <v>42</v>
      </c>
      <c r="C11" s="44">
        <v>46284.0</v>
      </c>
      <c r="E11" s="26"/>
      <c r="F11" s="112">
        <v>46265.0</v>
      </c>
      <c r="H11" s="26"/>
      <c r="I11" s="42"/>
      <c r="J11" s="42"/>
      <c r="K11" s="42"/>
      <c r="M11" s="20" t="s">
        <v>42</v>
      </c>
      <c r="N11" s="44">
        <v>45658.0</v>
      </c>
      <c r="Q11" s="26"/>
      <c r="R11" s="46">
        <v>45658.0</v>
      </c>
      <c r="S11" s="26"/>
    </row>
    <row r="12">
      <c r="B12" s="27" t="s">
        <v>45</v>
      </c>
      <c r="C12" s="29">
        <v>450.0</v>
      </c>
      <c r="E12" s="26"/>
      <c r="F12" s="113">
        <v>450.0</v>
      </c>
      <c r="H12" s="26"/>
      <c r="I12" s="36"/>
      <c r="J12" s="36"/>
      <c r="K12" s="36"/>
      <c r="M12" s="20" t="s">
        <v>45</v>
      </c>
      <c r="N12" s="24"/>
      <c r="Q12" s="26"/>
      <c r="R12" s="47"/>
      <c r="S12" s="26"/>
    </row>
    <row r="13">
      <c r="B13" s="9" t="s">
        <v>390</v>
      </c>
      <c r="C13" s="10"/>
      <c r="D13" s="10"/>
      <c r="E13" s="10"/>
      <c r="F13" s="10"/>
      <c r="G13" s="10"/>
      <c r="H13" s="12"/>
      <c r="I13" s="18"/>
      <c r="J13" s="18"/>
      <c r="K13" s="18"/>
    </row>
    <row r="14">
      <c r="B14" s="27" t="s">
        <v>30</v>
      </c>
      <c r="C14" s="33" t="s">
        <v>261</v>
      </c>
      <c r="D14" s="26"/>
      <c r="E14" s="33" t="s">
        <v>313</v>
      </c>
      <c r="F14" s="26"/>
      <c r="G14" s="29" t="s">
        <v>162</v>
      </c>
      <c r="H14" s="26"/>
      <c r="I14" s="36"/>
      <c r="J14" s="36"/>
      <c r="K14" s="36"/>
      <c r="M14" s="16">
        <v>450.0</v>
      </c>
    </row>
    <row r="15">
      <c r="B15" s="27" t="s">
        <v>37</v>
      </c>
      <c r="C15" s="38">
        <v>46204.0</v>
      </c>
      <c r="D15" s="26"/>
      <c r="E15" s="38">
        <v>46181.0</v>
      </c>
      <c r="F15" s="26"/>
      <c r="G15" s="38">
        <v>46192.0</v>
      </c>
      <c r="H15" s="26"/>
      <c r="I15" s="42"/>
      <c r="J15" s="42"/>
      <c r="K15" s="42"/>
      <c r="M15" s="20" t="s">
        <v>30</v>
      </c>
      <c r="N15" s="24"/>
      <c r="P15" s="26"/>
      <c r="Q15" s="47"/>
      <c r="S15" s="26"/>
    </row>
    <row r="16">
      <c r="B16" s="27" t="s">
        <v>42</v>
      </c>
      <c r="C16" s="44">
        <v>46233.0</v>
      </c>
      <c r="D16" s="26"/>
      <c r="E16" s="44">
        <v>46213.0</v>
      </c>
      <c r="F16" s="26"/>
      <c r="G16" s="38">
        <v>46203.0</v>
      </c>
      <c r="H16" s="26"/>
      <c r="I16" s="42"/>
      <c r="J16" s="42"/>
      <c r="K16" s="42"/>
      <c r="M16" s="20" t="s">
        <v>37</v>
      </c>
      <c r="N16" s="38">
        <v>45658.0</v>
      </c>
      <c r="P16" s="26"/>
      <c r="Q16" s="58">
        <v>45658.0</v>
      </c>
      <c r="S16" s="26"/>
    </row>
    <row r="17">
      <c r="B17" s="27" t="s">
        <v>45</v>
      </c>
      <c r="C17" s="29">
        <v>300.0</v>
      </c>
      <c r="D17" s="26"/>
      <c r="E17" s="29">
        <v>300.0</v>
      </c>
      <c r="F17" s="26"/>
      <c r="G17" s="29">
        <v>300.0</v>
      </c>
      <c r="H17" s="26"/>
      <c r="I17" s="68" t="s">
        <v>374</v>
      </c>
      <c r="J17" s="36"/>
      <c r="K17" s="36"/>
      <c r="M17" s="20" t="s">
        <v>42</v>
      </c>
      <c r="N17" s="44">
        <v>45658.0</v>
      </c>
      <c r="P17" s="26"/>
      <c r="Q17" s="46">
        <v>45658.0</v>
      </c>
      <c r="S17" s="26"/>
    </row>
    <row r="18">
      <c r="B18" s="9" t="s">
        <v>394</v>
      </c>
      <c r="C18" s="10"/>
      <c r="D18" s="10"/>
      <c r="E18" s="10"/>
      <c r="F18" s="10"/>
      <c r="G18" s="10"/>
      <c r="H18" s="12"/>
      <c r="I18" s="18"/>
      <c r="J18" s="18"/>
      <c r="K18" s="18"/>
      <c r="M18" s="20" t="s">
        <v>45</v>
      </c>
      <c r="N18" s="24"/>
      <c r="P18" s="26"/>
      <c r="Q18" s="47"/>
      <c r="S18" s="26"/>
    </row>
    <row r="19">
      <c r="B19" s="27" t="s">
        <v>30</v>
      </c>
      <c r="C19" s="29" t="s">
        <v>142</v>
      </c>
      <c r="E19" s="26"/>
      <c r="F19" s="43" t="s">
        <v>396</v>
      </c>
      <c r="H19" s="26"/>
      <c r="I19" s="36"/>
      <c r="J19" s="36"/>
      <c r="K19" s="36"/>
    </row>
    <row r="20">
      <c r="B20" s="27" t="s">
        <v>37</v>
      </c>
      <c r="C20" s="38">
        <v>46184.0</v>
      </c>
      <c r="E20" s="26"/>
      <c r="F20" s="58">
        <v>46178.0</v>
      </c>
      <c r="H20" s="26"/>
      <c r="I20" s="42"/>
      <c r="J20" s="42"/>
      <c r="K20" s="42"/>
      <c r="M20" s="16">
        <v>300.0</v>
      </c>
    </row>
    <row r="21">
      <c r="B21" s="27" t="s">
        <v>42</v>
      </c>
      <c r="C21" s="44">
        <v>46253.0</v>
      </c>
      <c r="E21" s="26"/>
      <c r="F21" s="46">
        <v>46207.0</v>
      </c>
      <c r="H21" s="26"/>
      <c r="I21" s="42"/>
      <c r="J21" s="42"/>
      <c r="K21" s="42"/>
      <c r="M21" s="20" t="s">
        <v>30</v>
      </c>
      <c r="N21" s="24"/>
      <c r="O21" s="26"/>
      <c r="P21" s="47"/>
      <c r="Q21" s="26"/>
      <c r="R21" s="47"/>
      <c r="S21" s="26"/>
    </row>
    <row r="22">
      <c r="B22" s="27" t="s">
        <v>45</v>
      </c>
      <c r="C22" s="29">
        <v>450.0</v>
      </c>
      <c r="E22" s="26"/>
      <c r="F22" s="43">
        <v>450.0</v>
      </c>
      <c r="H22" s="26"/>
      <c r="I22" s="36"/>
      <c r="J22" s="36"/>
      <c r="K22" s="36"/>
      <c r="M22" s="20" t="s">
        <v>37</v>
      </c>
      <c r="N22" s="38">
        <v>45658.0</v>
      </c>
      <c r="O22" s="26"/>
      <c r="P22" s="58">
        <v>45658.0</v>
      </c>
      <c r="Q22" s="26"/>
      <c r="R22" s="58">
        <v>45658.0</v>
      </c>
      <c r="S22" s="26"/>
    </row>
    <row r="23">
      <c r="B23" s="9" t="s">
        <v>401</v>
      </c>
      <c r="C23" s="10"/>
      <c r="D23" s="10"/>
      <c r="E23" s="10"/>
      <c r="F23" s="10"/>
      <c r="G23" s="10"/>
      <c r="H23" s="12"/>
      <c r="I23" s="18"/>
      <c r="J23" s="18"/>
      <c r="K23" s="18"/>
      <c r="M23" s="20" t="s">
        <v>42</v>
      </c>
      <c r="N23" s="44">
        <v>45658.0</v>
      </c>
      <c r="O23" s="26"/>
      <c r="P23" s="46">
        <v>45658.0</v>
      </c>
      <c r="Q23" s="26"/>
      <c r="R23" s="46">
        <v>45658.0</v>
      </c>
      <c r="S23" s="26"/>
    </row>
    <row r="24">
      <c r="B24" s="27" t="s">
        <v>30</v>
      </c>
      <c r="C24" s="29" t="s">
        <v>404</v>
      </c>
      <c r="E24" s="26"/>
      <c r="F24" s="113" t="s">
        <v>323</v>
      </c>
      <c r="H24" s="26"/>
      <c r="I24" s="36"/>
      <c r="J24" s="36"/>
      <c r="K24" s="36"/>
      <c r="M24" s="20" t="s">
        <v>45</v>
      </c>
      <c r="N24" s="24"/>
      <c r="O24" s="26"/>
      <c r="P24" s="47"/>
      <c r="Q24" s="26"/>
      <c r="R24" s="47"/>
      <c r="S24" s="26"/>
    </row>
    <row r="25">
      <c r="B25" s="27" t="s">
        <v>37</v>
      </c>
      <c r="C25" s="38"/>
      <c r="E25" s="26"/>
      <c r="F25" s="112"/>
      <c r="H25" s="26"/>
      <c r="I25" s="36"/>
      <c r="J25" s="36"/>
      <c r="K25" s="36"/>
    </row>
    <row r="26">
      <c r="B26" s="27" t="s">
        <v>42</v>
      </c>
      <c r="C26" s="44"/>
      <c r="E26" s="26"/>
      <c r="F26" s="79"/>
      <c r="H26" s="26"/>
      <c r="I26" s="36"/>
      <c r="J26" s="36"/>
      <c r="K26" s="36"/>
      <c r="L26" s="71"/>
    </row>
    <row r="27">
      <c r="B27" s="27" t="s">
        <v>45</v>
      </c>
      <c r="C27" s="29"/>
      <c r="E27" s="26"/>
      <c r="F27" s="113"/>
      <c r="H27" s="26"/>
      <c r="I27" s="36"/>
      <c r="J27" s="36"/>
      <c r="K27" s="36"/>
      <c r="L27" s="71"/>
    </row>
    <row r="28">
      <c r="B28" s="9" t="s">
        <v>377</v>
      </c>
      <c r="C28" s="10"/>
      <c r="D28" s="10"/>
      <c r="E28" s="10"/>
      <c r="F28" s="10"/>
      <c r="G28" s="10"/>
      <c r="H28" s="12"/>
      <c r="I28" s="18"/>
      <c r="J28" s="18"/>
      <c r="K28" s="18"/>
      <c r="L28" s="71"/>
    </row>
    <row r="29">
      <c r="B29" s="27" t="s">
        <v>30</v>
      </c>
      <c r="C29" s="29"/>
      <c r="E29" s="26"/>
      <c r="F29" s="43" t="s">
        <v>241</v>
      </c>
      <c r="H29" s="26"/>
      <c r="I29" s="36"/>
      <c r="J29" s="36"/>
      <c r="K29" s="36"/>
      <c r="L29" s="71"/>
    </row>
    <row r="30">
      <c r="B30" s="27" t="s">
        <v>37</v>
      </c>
      <c r="C30" s="38"/>
      <c r="E30" s="26"/>
      <c r="F30" s="58">
        <v>46206.0</v>
      </c>
      <c r="H30" s="26"/>
      <c r="I30" s="36"/>
      <c r="J30" s="36"/>
      <c r="K30" s="36"/>
      <c r="L30" s="71"/>
    </row>
    <row r="31">
      <c r="B31" s="27" t="s">
        <v>42</v>
      </c>
      <c r="C31" s="44"/>
      <c r="E31" s="26"/>
      <c r="F31" s="46">
        <v>46222.0</v>
      </c>
      <c r="H31" s="26"/>
      <c r="I31" s="36"/>
      <c r="J31" s="36"/>
      <c r="K31" s="36"/>
      <c r="L31" s="71"/>
    </row>
    <row r="32">
      <c r="B32" s="27" t="s">
        <v>45</v>
      </c>
      <c r="C32" s="49"/>
      <c r="D32" s="53"/>
      <c r="E32" s="52"/>
      <c r="F32" s="43">
        <v>450.0</v>
      </c>
      <c r="H32" s="26"/>
      <c r="I32" s="36"/>
      <c r="J32" s="36"/>
      <c r="K32" s="36"/>
      <c r="L32" s="71"/>
    </row>
    <row r="33">
      <c r="B33" s="9" t="s">
        <v>378</v>
      </c>
      <c r="C33" s="10"/>
      <c r="D33" s="10"/>
      <c r="E33" s="10"/>
      <c r="F33" s="10"/>
      <c r="G33" s="10"/>
      <c r="H33" s="12"/>
      <c r="I33" s="18"/>
      <c r="J33" s="18"/>
      <c r="K33" s="18"/>
      <c r="L33" s="71"/>
    </row>
    <row r="34">
      <c r="B34" s="27" t="s">
        <v>30</v>
      </c>
      <c r="C34" s="29" t="s">
        <v>343</v>
      </c>
      <c r="E34" s="26"/>
      <c r="F34" s="33" t="s">
        <v>140</v>
      </c>
      <c r="H34" s="26"/>
      <c r="I34" s="36"/>
      <c r="J34" s="36"/>
      <c r="K34" s="36"/>
      <c r="L34" s="71"/>
    </row>
    <row r="35">
      <c r="B35" s="27" t="s">
        <v>37</v>
      </c>
      <c r="C35" s="38">
        <v>46206.0</v>
      </c>
      <c r="E35" s="26"/>
      <c r="F35" s="38">
        <v>46246.0</v>
      </c>
      <c r="H35" s="26"/>
      <c r="I35" s="36"/>
      <c r="J35" s="36"/>
      <c r="K35" s="36"/>
      <c r="L35" s="71"/>
    </row>
    <row r="36">
      <c r="B36" s="27" t="s">
        <v>42</v>
      </c>
      <c r="C36" s="44">
        <v>45658.0</v>
      </c>
      <c r="E36" s="26"/>
      <c r="F36" s="44">
        <v>46265.0</v>
      </c>
      <c r="H36" s="26"/>
      <c r="I36" s="36"/>
      <c r="J36" s="36"/>
      <c r="K36" s="36"/>
      <c r="L36" s="71"/>
    </row>
    <row r="37">
      <c r="B37" s="27" t="s">
        <v>45</v>
      </c>
      <c r="C37" s="29">
        <v>450.0</v>
      </c>
      <c r="E37" s="26"/>
      <c r="F37" s="29">
        <v>300.0</v>
      </c>
      <c r="H37" s="26"/>
      <c r="I37" s="68" t="s">
        <v>413</v>
      </c>
      <c r="J37" s="36"/>
      <c r="K37" s="36"/>
      <c r="L37" s="71"/>
    </row>
    <row r="38">
      <c r="B38" s="9" t="s">
        <v>414</v>
      </c>
      <c r="C38" s="10"/>
      <c r="D38" s="10"/>
      <c r="E38" s="10"/>
      <c r="F38" s="10"/>
      <c r="G38" s="10"/>
      <c r="H38" s="12"/>
      <c r="I38" s="18"/>
      <c r="J38" s="18"/>
      <c r="K38" s="18"/>
      <c r="L38" s="71"/>
    </row>
    <row r="39">
      <c r="B39" s="27" t="s">
        <v>30</v>
      </c>
      <c r="C39" s="29" t="s">
        <v>311</v>
      </c>
      <c r="D39" s="26"/>
      <c r="E39" s="29" t="s">
        <v>235</v>
      </c>
      <c r="G39" s="26"/>
      <c r="H39" s="72"/>
      <c r="I39" s="36"/>
      <c r="J39" s="36"/>
      <c r="K39" s="36"/>
      <c r="L39" s="71"/>
    </row>
    <row r="40">
      <c r="B40" s="27" t="s">
        <v>37</v>
      </c>
      <c r="C40" s="38">
        <v>46205.0</v>
      </c>
      <c r="D40" s="26"/>
      <c r="E40" s="38">
        <v>46200.0</v>
      </c>
      <c r="G40" s="26"/>
      <c r="H40" s="116"/>
      <c r="I40" s="36"/>
      <c r="J40" s="36"/>
      <c r="K40" s="36"/>
      <c r="L40" s="71"/>
      <c r="M40" s="6" t="s">
        <v>158</v>
      </c>
    </row>
    <row r="41">
      <c r="B41" s="27" t="s">
        <v>42</v>
      </c>
      <c r="C41" s="44">
        <v>46235.0</v>
      </c>
      <c r="D41" s="26"/>
      <c r="E41" s="44">
        <v>46206.0</v>
      </c>
      <c r="G41" s="26"/>
      <c r="H41" s="117"/>
      <c r="I41" s="36"/>
      <c r="J41" s="36"/>
      <c r="K41" s="36"/>
      <c r="L41" s="71"/>
    </row>
    <row r="42">
      <c r="B42" s="27" t="s">
        <v>45</v>
      </c>
      <c r="C42" s="29">
        <v>300.0</v>
      </c>
      <c r="D42" s="26"/>
      <c r="E42" s="29">
        <v>450.0</v>
      </c>
      <c r="G42" s="26"/>
      <c r="H42" s="118"/>
      <c r="I42" s="36"/>
      <c r="J42" s="36"/>
      <c r="K42" s="36"/>
      <c r="L42" s="71"/>
    </row>
    <row r="43">
      <c r="B43" s="9" t="s">
        <v>381</v>
      </c>
      <c r="C43" s="10"/>
      <c r="D43" s="10"/>
      <c r="E43" s="10"/>
      <c r="F43" s="10"/>
      <c r="G43" s="10"/>
      <c r="H43" s="12"/>
      <c r="I43" s="18"/>
      <c r="J43" s="18"/>
      <c r="K43" s="18"/>
      <c r="L43" s="71"/>
    </row>
    <row r="44">
      <c r="B44" s="27" t="s">
        <v>30</v>
      </c>
      <c r="C44" s="29"/>
      <c r="E44" s="26"/>
      <c r="F44" s="43"/>
      <c r="H44" s="26"/>
      <c r="I44" s="36"/>
      <c r="J44" s="36"/>
      <c r="K44" s="36"/>
      <c r="L44" s="71"/>
    </row>
    <row r="45">
      <c r="B45" s="27" t="s">
        <v>37</v>
      </c>
      <c r="C45" s="38"/>
      <c r="E45" s="26"/>
      <c r="F45" s="58"/>
      <c r="H45" s="26"/>
      <c r="I45" s="36"/>
      <c r="J45" s="36"/>
      <c r="K45" s="36"/>
      <c r="L45" s="71"/>
    </row>
    <row r="46">
      <c r="B46" s="27" t="s">
        <v>42</v>
      </c>
      <c r="C46" s="44"/>
      <c r="E46" s="26"/>
      <c r="F46" s="44"/>
      <c r="H46" s="26"/>
      <c r="I46" s="36"/>
      <c r="J46" s="36"/>
      <c r="K46" s="36"/>
      <c r="L46" s="71"/>
    </row>
    <row r="47">
      <c r="B47" s="27" t="s">
        <v>45</v>
      </c>
      <c r="C47" s="49"/>
      <c r="D47" s="53"/>
      <c r="E47" s="52"/>
      <c r="F47" s="43"/>
      <c r="H47" s="26"/>
      <c r="I47" s="36"/>
      <c r="J47" s="36"/>
      <c r="K47" s="36"/>
      <c r="L47" s="71"/>
    </row>
    <row r="48">
      <c r="B48" s="9" t="s">
        <v>382</v>
      </c>
      <c r="C48" s="10"/>
      <c r="D48" s="10"/>
      <c r="E48" s="10"/>
      <c r="F48" s="10"/>
      <c r="G48" s="10"/>
      <c r="H48" s="12"/>
      <c r="I48" s="18"/>
      <c r="J48" s="18"/>
      <c r="K48" s="18"/>
      <c r="L48" s="71"/>
    </row>
    <row r="49">
      <c r="B49" s="40" t="s">
        <v>30</v>
      </c>
      <c r="C49" s="29"/>
      <c r="D49" s="26"/>
      <c r="E49" s="29"/>
      <c r="F49" s="26"/>
      <c r="G49" s="47"/>
      <c r="H49" s="26"/>
      <c r="I49" s="36"/>
      <c r="J49" s="36"/>
      <c r="K49" s="36"/>
      <c r="L49" s="71"/>
    </row>
    <row r="50">
      <c r="B50" s="40" t="s">
        <v>37</v>
      </c>
      <c r="C50" s="38"/>
      <c r="D50" s="26"/>
      <c r="E50" s="38"/>
      <c r="F50" s="26"/>
      <c r="G50" s="58"/>
      <c r="H50" s="26"/>
      <c r="I50" s="36"/>
      <c r="J50" s="36"/>
      <c r="K50" s="36"/>
      <c r="L50" s="71"/>
    </row>
    <row r="51">
      <c r="B51" s="40" t="s">
        <v>42</v>
      </c>
      <c r="C51" s="44"/>
      <c r="D51" s="26"/>
      <c r="E51" s="38"/>
      <c r="F51" s="26"/>
      <c r="G51" s="43" t="s">
        <v>415</v>
      </c>
      <c r="H51" s="26"/>
      <c r="I51" s="36"/>
      <c r="J51" s="36"/>
      <c r="K51" s="36"/>
      <c r="L51" s="71"/>
    </row>
    <row r="52">
      <c r="B52" s="48" t="s">
        <v>45</v>
      </c>
      <c r="C52" s="49"/>
      <c r="D52" s="52"/>
      <c r="E52" s="49"/>
      <c r="F52" s="52"/>
      <c r="G52" s="60"/>
      <c r="H52" s="52"/>
      <c r="I52" s="36"/>
      <c r="J52" s="36"/>
      <c r="K52" s="36"/>
      <c r="L52" s="71"/>
    </row>
    <row r="53">
      <c r="I53" s="36"/>
      <c r="J53" s="36"/>
      <c r="K53" s="36"/>
      <c r="L53" s="71"/>
    </row>
    <row r="54">
      <c r="B54" s="3" t="s">
        <v>186</v>
      </c>
      <c r="G54" s="3" t="str">
        <f>SUM(C7,C12,F12,C17,F17,C22,E22,G22,C27,E27,G27,C32,#REF!,#REF!,C37,#REF!,C47,F47,C52,E52,G52)</f>
        <v>#REF!</v>
      </c>
      <c r="I54" s="36"/>
      <c r="J54" s="36"/>
      <c r="K54" s="36"/>
      <c r="L54" s="71"/>
    </row>
    <row r="55">
      <c r="I55" s="36"/>
      <c r="J55" s="36"/>
      <c r="K55" s="36"/>
    </row>
  </sheetData>
  <mergeCells count="142">
    <mergeCell ref="N3:S3"/>
    <mergeCell ref="N4:S4"/>
    <mergeCell ref="C5:D5"/>
    <mergeCell ref="E5:F5"/>
    <mergeCell ref="G5:H5"/>
    <mergeCell ref="N5:S5"/>
    <mergeCell ref="C6:D6"/>
    <mergeCell ref="E6:F6"/>
    <mergeCell ref="G6:H6"/>
    <mergeCell ref="N6:S6"/>
    <mergeCell ref="C7:D7"/>
    <mergeCell ref="E7:F7"/>
    <mergeCell ref="G7:H7"/>
    <mergeCell ref="B8:H8"/>
    <mergeCell ref="M8:S8"/>
    <mergeCell ref="N9:Q9"/>
    <mergeCell ref="R9:S9"/>
    <mergeCell ref="C10:E10"/>
    <mergeCell ref="F10:H10"/>
    <mergeCell ref="N10:Q10"/>
    <mergeCell ref="R10:S10"/>
    <mergeCell ref="C11:E11"/>
    <mergeCell ref="F11:H11"/>
    <mergeCell ref="N11:Q11"/>
    <mergeCell ref="R11:S11"/>
    <mergeCell ref="C12:E12"/>
    <mergeCell ref="F12:H12"/>
    <mergeCell ref="N12:Q12"/>
    <mergeCell ref="R12:S12"/>
    <mergeCell ref="C4:D4"/>
    <mergeCell ref="C9:E9"/>
    <mergeCell ref="B13:H13"/>
    <mergeCell ref="C14:D14"/>
    <mergeCell ref="E14:F14"/>
    <mergeCell ref="G14:H14"/>
    <mergeCell ref="M14:S14"/>
    <mergeCell ref="C15:D15"/>
    <mergeCell ref="E15:F15"/>
    <mergeCell ref="G15:H15"/>
    <mergeCell ref="N15:P15"/>
    <mergeCell ref="Q15:S15"/>
    <mergeCell ref="C16:D16"/>
    <mergeCell ref="E16:F16"/>
    <mergeCell ref="G16:H16"/>
    <mergeCell ref="N16:P16"/>
    <mergeCell ref="Q16:S16"/>
    <mergeCell ref="C17:D17"/>
    <mergeCell ref="E17:F17"/>
    <mergeCell ref="G17:H17"/>
    <mergeCell ref="N17:P17"/>
    <mergeCell ref="Q17:S17"/>
    <mergeCell ref="B18:H18"/>
    <mergeCell ref="N18:P18"/>
    <mergeCell ref="Q18:S18"/>
    <mergeCell ref="C19:E19"/>
    <mergeCell ref="F19:H19"/>
    <mergeCell ref="C20:E20"/>
    <mergeCell ref="F20:H20"/>
    <mergeCell ref="M20:S20"/>
    <mergeCell ref="C21:E21"/>
    <mergeCell ref="F21:H21"/>
    <mergeCell ref="N21:O21"/>
    <mergeCell ref="P21:Q21"/>
    <mergeCell ref="R21:S21"/>
    <mergeCell ref="C22:E22"/>
    <mergeCell ref="F22:H22"/>
    <mergeCell ref="N22:O22"/>
    <mergeCell ref="P22:Q22"/>
    <mergeCell ref="C24:E24"/>
    <mergeCell ref="F24:H24"/>
    <mergeCell ref="N24:O24"/>
    <mergeCell ref="P24:Q24"/>
    <mergeCell ref="C44:E44"/>
    <mergeCell ref="F44:H44"/>
    <mergeCell ref="C45:E45"/>
    <mergeCell ref="F45:H45"/>
    <mergeCell ref="C46:E46"/>
    <mergeCell ref="F46:H46"/>
    <mergeCell ref="C47:E47"/>
    <mergeCell ref="F47:H47"/>
    <mergeCell ref="B48:H48"/>
    <mergeCell ref="C49:D49"/>
    <mergeCell ref="E49:F49"/>
    <mergeCell ref="G49:H49"/>
    <mergeCell ref="E50:F50"/>
    <mergeCell ref="G50:H50"/>
    <mergeCell ref="B54:F54"/>
    <mergeCell ref="G54:H54"/>
    <mergeCell ref="C50:D50"/>
    <mergeCell ref="C51:D51"/>
    <mergeCell ref="E51:F51"/>
    <mergeCell ref="G51:H51"/>
    <mergeCell ref="C52:D52"/>
    <mergeCell ref="E52:F52"/>
    <mergeCell ref="G52:H52"/>
    <mergeCell ref="R22:S22"/>
    <mergeCell ref="B23:H23"/>
    <mergeCell ref="N23:O23"/>
    <mergeCell ref="P23:Q23"/>
    <mergeCell ref="R23:S23"/>
    <mergeCell ref="B2:H2"/>
    <mergeCell ref="L2:L25"/>
    <mergeCell ref="M2:S2"/>
    <mergeCell ref="B3:H3"/>
    <mergeCell ref="E4:F4"/>
    <mergeCell ref="G4:H4"/>
    <mergeCell ref="F9:H9"/>
    <mergeCell ref="R24:S24"/>
    <mergeCell ref="C25:E25"/>
    <mergeCell ref="F25:H25"/>
    <mergeCell ref="C26:E26"/>
    <mergeCell ref="F26:H26"/>
    <mergeCell ref="F27:H27"/>
    <mergeCell ref="B28:H28"/>
    <mergeCell ref="C27:E27"/>
    <mergeCell ref="C29:E29"/>
    <mergeCell ref="F29:H29"/>
    <mergeCell ref="C30:E30"/>
    <mergeCell ref="F30:H30"/>
    <mergeCell ref="C31:E31"/>
    <mergeCell ref="F31:H31"/>
    <mergeCell ref="C32:E32"/>
    <mergeCell ref="F32:H32"/>
    <mergeCell ref="B33:H33"/>
    <mergeCell ref="C34:E34"/>
    <mergeCell ref="F34:H34"/>
    <mergeCell ref="C35:E35"/>
    <mergeCell ref="F35:H35"/>
    <mergeCell ref="C36:E36"/>
    <mergeCell ref="F36:H36"/>
    <mergeCell ref="C37:E37"/>
    <mergeCell ref="F37:H37"/>
    <mergeCell ref="B38:H38"/>
    <mergeCell ref="C39:D39"/>
    <mergeCell ref="E39:G39"/>
    <mergeCell ref="C40:D40"/>
    <mergeCell ref="E40:G40"/>
    <mergeCell ref="C41:D41"/>
    <mergeCell ref="E41:G41"/>
    <mergeCell ref="C42:D42"/>
    <mergeCell ref="E42:G42"/>
    <mergeCell ref="B43:H43"/>
  </mergeCells>
  <conditionalFormatting sqref="C24 F34 E39">
    <cfRule type="expression" dxfId="1" priority="1">
      <formula>$L24=TRUE</formula>
    </cfRule>
  </conditionalFormatting>
  <conditionalFormatting sqref="N5 C6:H6 C11:E11 G11 N11 R11 C16:F16 N17 P17:R17 C21:H21 N23 P23 R23 C26:G26 C31:H31 C36:H36 C41 E41:H41 C46:D46 C51 G51">
    <cfRule type="cellIs" dxfId="2" priority="2" operator="lessThanOrEqual">
      <formula>TODAY()-1</formula>
    </cfRule>
  </conditionalFormatting>
  <conditionalFormatting sqref="N5 C6:H6 C11:E11 G11 N11 R11 C16:F16 N17 P17:R17 C21:H21 N23 P23 R23 C26:G26 C31:H31 C36:H36 C41 E41:H41 C46:D46 C51 G51">
    <cfRule type="cellIs" dxfId="3" priority="3" operator="lessThanOrEqual">
      <formula>TODAY()</formula>
    </cfRule>
  </conditionalFormatting>
  <conditionalFormatting sqref="N5 C6:H6 C11:E11 G11 N11 R11 C16:F16 N17 P17:R17 C21:G21 N23 P23 R23 C26:G26 C31:H31 C36:H36 C41 E41:H41 C46:D46 C51 G51">
    <cfRule type="cellIs" dxfId="4" priority="4" operator="lessThanOrEqual">
      <formula>TODAY()+3</formula>
    </cfRule>
  </conditionalFormatting>
  <conditionalFormatting sqref="N5 C6:H6 C11:E11 G11 N11 R11 C16:F16 N17 P17:R17 C21:G21 N23 P23 R23 C26:G26 C31:H31 C36:H36 C41 E41:H41 C46:D46 C51 G51">
    <cfRule type="cellIs" dxfId="5" priority="5" operator="lessThanOrEqual">
      <formula>TODAY()+8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9.38"/>
    <col customWidth="1" min="3" max="3" width="6.5"/>
    <col customWidth="1" min="4" max="4" width="11.88"/>
    <col customWidth="1" min="5" max="5" width="6.0"/>
    <col customWidth="1" min="6" max="6" width="10.5"/>
    <col customWidth="1" min="7" max="7" width="6.0"/>
    <col customWidth="1" min="8" max="8" width="9.88"/>
    <col customWidth="1" min="9" max="9" width="5.63"/>
    <col customWidth="1" min="10" max="10" width="7.0"/>
    <col customWidth="1" min="11" max="11" width="8.25"/>
    <col customWidth="1" min="12" max="12" width="4.5"/>
    <col customWidth="1" min="13" max="13" width="8.88" outlineLevel="1"/>
    <col customWidth="1" min="14" max="14" width="3.88" outlineLevel="1"/>
    <col customWidth="1" min="15" max="15" width="6.88" outlineLevel="1"/>
    <col customWidth="1" min="16" max="16" width="6.0" outlineLevel="1"/>
    <col customWidth="1" min="17" max="17" width="7.38" outlineLevel="1"/>
    <col customWidth="1" min="18" max="18" width="5.63" outlineLevel="1"/>
    <col customWidth="1" min="19" max="19" width="5.0" outlineLevel="1"/>
  </cols>
  <sheetData>
    <row r="1">
      <c r="A1" s="6" t="s">
        <v>356</v>
      </c>
    </row>
    <row r="2">
      <c r="B2" s="3" t="s">
        <v>385</v>
      </c>
      <c r="I2" s="8"/>
      <c r="J2" s="8"/>
      <c r="K2" s="8"/>
      <c r="L2" s="13" t="s">
        <v>17</v>
      </c>
      <c r="M2" s="16">
        <v>900.0</v>
      </c>
    </row>
    <row r="3">
      <c r="B3" s="16" t="s">
        <v>386</v>
      </c>
      <c r="I3" s="18"/>
      <c r="J3" s="18"/>
      <c r="K3" s="18"/>
      <c r="M3" s="20" t="s">
        <v>30</v>
      </c>
      <c r="N3" s="24"/>
      <c r="S3" s="26"/>
    </row>
    <row r="4">
      <c r="B4" s="88" t="s">
        <v>30</v>
      </c>
      <c r="C4" s="24"/>
      <c r="E4" s="26"/>
      <c r="F4" s="47"/>
      <c r="H4" s="26"/>
      <c r="I4" s="36"/>
      <c r="J4" s="36"/>
      <c r="K4" s="36"/>
      <c r="M4" s="20" t="s">
        <v>37</v>
      </c>
      <c r="N4" s="38">
        <v>45658.0</v>
      </c>
      <c r="S4" s="26"/>
    </row>
    <row r="5">
      <c r="B5" s="88" t="s">
        <v>37</v>
      </c>
      <c r="C5" s="38">
        <v>45658.0</v>
      </c>
      <c r="E5" s="26"/>
      <c r="F5" s="58">
        <v>45658.0</v>
      </c>
      <c r="H5" s="26"/>
      <c r="I5" s="42"/>
      <c r="J5" s="46"/>
      <c r="K5" s="46"/>
      <c r="M5" s="20" t="s">
        <v>42</v>
      </c>
      <c r="N5" s="44">
        <v>45833.0</v>
      </c>
      <c r="S5" s="26"/>
    </row>
    <row r="6">
      <c r="B6" s="88" t="s">
        <v>42</v>
      </c>
      <c r="C6" s="44">
        <v>45658.0</v>
      </c>
      <c r="E6" s="26"/>
      <c r="F6" s="46">
        <v>45658.0</v>
      </c>
      <c r="H6" s="26"/>
      <c r="I6" s="42"/>
      <c r="J6" s="42"/>
      <c r="K6" s="42"/>
      <c r="M6" s="20" t="s">
        <v>45</v>
      </c>
      <c r="N6" s="24"/>
      <c r="S6" s="26"/>
    </row>
    <row r="7">
      <c r="B7" s="88" t="s">
        <v>45</v>
      </c>
      <c r="C7" s="24"/>
      <c r="E7" s="26"/>
      <c r="F7" s="47"/>
      <c r="H7" s="26"/>
      <c r="I7" s="36"/>
      <c r="J7" s="36"/>
      <c r="K7" s="36"/>
    </row>
    <row r="8">
      <c r="B8" s="61" t="s">
        <v>391</v>
      </c>
      <c r="C8" s="55"/>
      <c r="D8" s="55"/>
      <c r="E8" s="55"/>
      <c r="F8" s="55"/>
      <c r="G8" s="55"/>
      <c r="H8" s="56"/>
      <c r="I8" s="18"/>
      <c r="J8" s="18"/>
      <c r="K8" s="18"/>
      <c r="M8" s="16">
        <v>600.0</v>
      </c>
    </row>
    <row r="9">
      <c r="B9" s="22" t="s">
        <v>30</v>
      </c>
      <c r="C9" s="43" t="s">
        <v>118</v>
      </c>
      <c r="D9" s="26"/>
      <c r="E9" s="43" t="s">
        <v>184</v>
      </c>
      <c r="F9" s="26"/>
      <c r="G9" s="47"/>
      <c r="H9" s="26"/>
      <c r="I9" s="36"/>
      <c r="J9" s="36"/>
      <c r="K9" s="36"/>
      <c r="M9" s="20" t="s">
        <v>30</v>
      </c>
      <c r="N9" s="24"/>
      <c r="Q9" s="26"/>
      <c r="R9" s="47"/>
      <c r="S9" s="26"/>
    </row>
    <row r="10">
      <c r="B10" s="40" t="s">
        <v>37</v>
      </c>
      <c r="C10" s="128">
        <v>46189.0</v>
      </c>
      <c r="D10" s="12"/>
      <c r="E10" s="58">
        <v>46192.0</v>
      </c>
      <c r="F10" s="26"/>
      <c r="G10" s="58">
        <v>45658.0</v>
      </c>
      <c r="H10" s="26"/>
      <c r="I10" s="42"/>
      <c r="J10" s="42"/>
      <c r="K10" s="42"/>
      <c r="M10" s="20" t="s">
        <v>37</v>
      </c>
      <c r="N10" s="38">
        <v>45658.0</v>
      </c>
      <c r="Q10" s="26"/>
      <c r="R10" s="58">
        <v>45658.0</v>
      </c>
      <c r="S10" s="26"/>
    </row>
    <row r="11">
      <c r="B11" s="40" t="s">
        <v>42</v>
      </c>
      <c r="C11" s="129">
        <v>46211.0</v>
      </c>
      <c r="D11" s="12"/>
      <c r="E11" s="46">
        <v>46234.0</v>
      </c>
      <c r="F11" s="26"/>
      <c r="G11" s="46">
        <v>45658.0</v>
      </c>
      <c r="H11" s="26"/>
      <c r="I11" s="42"/>
      <c r="J11" s="42"/>
      <c r="K11" s="42"/>
      <c r="M11" s="20" t="s">
        <v>42</v>
      </c>
      <c r="N11" s="44">
        <v>45658.0</v>
      </c>
      <c r="Q11" s="26"/>
      <c r="R11" s="46">
        <v>45658.0</v>
      </c>
      <c r="S11" s="26"/>
    </row>
    <row r="12">
      <c r="B12" s="40" t="s">
        <v>45</v>
      </c>
      <c r="C12" s="43">
        <v>300.0</v>
      </c>
      <c r="D12" s="26"/>
      <c r="E12" s="43">
        <v>300.0</v>
      </c>
      <c r="F12" s="26"/>
      <c r="G12" s="47"/>
      <c r="H12" s="26"/>
      <c r="I12" s="36"/>
      <c r="J12" s="36"/>
      <c r="K12" s="36"/>
      <c r="M12" s="20" t="s">
        <v>45</v>
      </c>
      <c r="N12" s="24"/>
      <c r="Q12" s="26"/>
      <c r="R12" s="47"/>
      <c r="S12" s="26"/>
    </row>
    <row r="13">
      <c r="B13" s="63" t="s">
        <v>371</v>
      </c>
      <c r="C13" s="53"/>
      <c r="D13" s="53"/>
      <c r="E13" s="53"/>
      <c r="F13" s="53"/>
      <c r="G13" s="53"/>
      <c r="H13" s="52"/>
      <c r="I13" s="18"/>
      <c r="J13" s="18"/>
      <c r="K13" s="18"/>
    </row>
    <row r="14">
      <c r="B14" s="27" t="s">
        <v>30</v>
      </c>
      <c r="C14" s="33" t="s">
        <v>140</v>
      </c>
      <c r="E14" s="26"/>
      <c r="F14" s="43" t="s">
        <v>47</v>
      </c>
      <c r="H14" s="26"/>
      <c r="I14" s="36"/>
      <c r="J14" s="36"/>
      <c r="K14" s="36"/>
      <c r="M14" s="16">
        <v>450.0</v>
      </c>
    </row>
    <row r="15">
      <c r="B15" s="27" t="s">
        <v>37</v>
      </c>
      <c r="C15" s="38">
        <v>46246.0</v>
      </c>
      <c r="E15" s="26"/>
      <c r="F15" s="58">
        <v>45658.0</v>
      </c>
      <c r="H15" s="26"/>
      <c r="I15" s="42"/>
      <c r="J15" s="42"/>
      <c r="K15" s="42"/>
      <c r="M15" s="20" t="s">
        <v>30</v>
      </c>
      <c r="N15" s="24"/>
      <c r="P15" s="26"/>
      <c r="Q15" s="47"/>
      <c r="S15" s="26"/>
    </row>
    <row r="16">
      <c r="B16" s="27" t="s">
        <v>42</v>
      </c>
      <c r="C16" s="44">
        <v>46265.0</v>
      </c>
      <c r="E16" s="26"/>
      <c r="F16" s="46">
        <v>45658.0</v>
      </c>
      <c r="H16" s="26"/>
      <c r="I16" s="42"/>
      <c r="J16" s="42"/>
      <c r="K16" s="42"/>
      <c r="M16" s="20" t="s">
        <v>37</v>
      </c>
      <c r="N16" s="38">
        <v>45658.0</v>
      </c>
      <c r="P16" s="26"/>
      <c r="Q16" s="58">
        <v>45658.0</v>
      </c>
      <c r="S16" s="26"/>
    </row>
    <row r="17">
      <c r="B17" s="27" t="s">
        <v>45</v>
      </c>
      <c r="C17" s="29">
        <v>300.0</v>
      </c>
      <c r="E17" s="26"/>
      <c r="F17" s="47"/>
      <c r="H17" s="26"/>
      <c r="I17" s="68" t="s">
        <v>374</v>
      </c>
      <c r="J17" s="36"/>
      <c r="K17" s="36"/>
      <c r="M17" s="20" t="s">
        <v>42</v>
      </c>
      <c r="N17" s="44">
        <v>45658.0</v>
      </c>
      <c r="P17" s="26"/>
      <c r="Q17" s="46">
        <v>45658.0</v>
      </c>
      <c r="S17" s="26"/>
    </row>
    <row r="18">
      <c r="B18" s="9" t="s">
        <v>375</v>
      </c>
      <c r="C18" s="10"/>
      <c r="D18" s="10"/>
      <c r="E18" s="10"/>
      <c r="F18" s="10"/>
      <c r="G18" s="10"/>
      <c r="H18" s="12"/>
      <c r="I18" s="18"/>
      <c r="J18" s="18"/>
      <c r="K18" s="18"/>
      <c r="M18" s="20" t="s">
        <v>45</v>
      </c>
      <c r="N18" s="24"/>
      <c r="P18" s="26"/>
      <c r="Q18" s="47"/>
      <c r="S18" s="26"/>
    </row>
    <row r="19">
      <c r="B19" s="27" t="s">
        <v>30</v>
      </c>
      <c r="C19" s="29"/>
      <c r="H19" s="26"/>
      <c r="I19" s="36"/>
      <c r="J19" s="36"/>
      <c r="K19" s="36"/>
    </row>
    <row r="20">
      <c r="B20" s="27" t="s">
        <v>37</v>
      </c>
      <c r="C20" s="38"/>
      <c r="H20" s="26"/>
      <c r="I20" s="42"/>
      <c r="J20" s="42"/>
      <c r="K20" s="42"/>
      <c r="M20" s="16">
        <v>300.0</v>
      </c>
    </row>
    <row r="21">
      <c r="B21" s="27" t="s">
        <v>42</v>
      </c>
      <c r="C21" s="44"/>
      <c r="H21" s="26"/>
      <c r="I21" s="42"/>
      <c r="J21" s="42"/>
      <c r="K21" s="42"/>
      <c r="M21" s="20" t="s">
        <v>30</v>
      </c>
      <c r="N21" s="24"/>
      <c r="O21" s="26"/>
      <c r="P21" s="47"/>
      <c r="Q21" s="26"/>
      <c r="R21" s="47"/>
      <c r="S21" s="26"/>
    </row>
    <row r="22">
      <c r="B22" s="27" t="s">
        <v>45</v>
      </c>
      <c r="C22" s="29"/>
      <c r="H22" s="26"/>
      <c r="I22" s="36"/>
      <c r="J22" s="36"/>
      <c r="K22" s="36"/>
      <c r="M22" s="20" t="s">
        <v>37</v>
      </c>
      <c r="N22" s="38">
        <v>45658.0</v>
      </c>
      <c r="O22" s="26"/>
      <c r="P22" s="58">
        <v>45658.0</v>
      </c>
      <c r="Q22" s="26"/>
      <c r="R22" s="58">
        <v>45658.0</v>
      </c>
      <c r="S22" s="26"/>
    </row>
    <row r="23">
      <c r="B23" s="9" t="s">
        <v>401</v>
      </c>
      <c r="C23" s="10"/>
      <c r="D23" s="10"/>
      <c r="E23" s="10"/>
      <c r="F23" s="10"/>
      <c r="G23" s="10"/>
      <c r="H23" s="12"/>
      <c r="I23" s="18"/>
      <c r="J23" s="18"/>
      <c r="K23" s="18"/>
      <c r="M23" s="20" t="s">
        <v>42</v>
      </c>
      <c r="N23" s="44">
        <v>45658.0</v>
      </c>
      <c r="O23" s="26"/>
      <c r="P23" s="46">
        <v>45658.0</v>
      </c>
      <c r="Q23" s="26"/>
      <c r="R23" s="46">
        <v>45658.0</v>
      </c>
      <c r="S23" s="26"/>
    </row>
    <row r="24">
      <c r="B24" s="27" t="s">
        <v>30</v>
      </c>
      <c r="C24" s="29"/>
      <c r="E24" s="26"/>
      <c r="F24" s="113"/>
      <c r="H24" s="26"/>
      <c r="I24" s="36"/>
      <c r="J24" s="36"/>
      <c r="K24" s="36"/>
      <c r="M24" s="20" t="s">
        <v>45</v>
      </c>
      <c r="N24" s="24"/>
      <c r="O24" s="26"/>
      <c r="P24" s="47"/>
      <c r="Q24" s="26"/>
      <c r="R24" s="47"/>
      <c r="S24" s="26"/>
    </row>
    <row r="25">
      <c r="B25" s="27" t="s">
        <v>37</v>
      </c>
      <c r="C25" s="38"/>
      <c r="E25" s="26"/>
      <c r="F25" s="112"/>
      <c r="H25" s="26"/>
      <c r="I25" s="36"/>
      <c r="J25" s="36"/>
      <c r="K25" s="36"/>
    </row>
    <row r="26">
      <c r="B26" s="27" t="s">
        <v>42</v>
      </c>
      <c r="C26" s="44"/>
      <c r="E26" s="26"/>
      <c r="F26" s="79"/>
      <c r="H26" s="26"/>
      <c r="I26" s="36"/>
      <c r="J26" s="36"/>
      <c r="K26" s="36"/>
      <c r="L26" s="71"/>
    </row>
    <row r="27">
      <c r="B27" s="27" t="s">
        <v>45</v>
      </c>
      <c r="C27" s="29"/>
      <c r="E27" s="26"/>
      <c r="F27" s="113"/>
      <c r="H27" s="26"/>
      <c r="I27" s="36"/>
      <c r="J27" s="36"/>
      <c r="K27" s="36"/>
      <c r="L27" s="71"/>
    </row>
    <row r="28">
      <c r="B28" s="9" t="s">
        <v>377</v>
      </c>
      <c r="C28" s="10"/>
      <c r="D28" s="10"/>
      <c r="E28" s="10"/>
      <c r="F28" s="10"/>
      <c r="G28" s="10"/>
      <c r="H28" s="12"/>
      <c r="I28" s="18"/>
      <c r="J28" s="18"/>
      <c r="K28" s="18"/>
      <c r="L28" s="71"/>
    </row>
    <row r="29">
      <c r="B29" s="27" t="s">
        <v>30</v>
      </c>
      <c r="C29" s="29"/>
      <c r="E29" s="26"/>
      <c r="F29" s="107"/>
      <c r="G29" s="26"/>
      <c r="H29" s="115"/>
      <c r="I29" s="36"/>
      <c r="J29" s="36"/>
      <c r="K29" s="36"/>
      <c r="L29" s="71"/>
    </row>
    <row r="30">
      <c r="B30" s="27" t="s">
        <v>37</v>
      </c>
      <c r="C30" s="38"/>
      <c r="E30" s="26"/>
      <c r="F30" s="38"/>
      <c r="G30" s="26"/>
      <c r="H30" s="116"/>
      <c r="I30" s="36"/>
      <c r="J30" s="36"/>
      <c r="K30" s="36"/>
      <c r="L30" s="71"/>
    </row>
    <row r="31">
      <c r="B31" s="27" t="s">
        <v>42</v>
      </c>
      <c r="C31" s="44"/>
      <c r="E31" s="26"/>
      <c r="F31" s="38"/>
      <c r="G31" s="26"/>
      <c r="H31" s="117"/>
      <c r="I31" s="36"/>
      <c r="J31" s="36"/>
      <c r="K31" s="36"/>
      <c r="L31" s="71"/>
    </row>
    <row r="32">
      <c r="B32" s="27" t="s">
        <v>45</v>
      </c>
      <c r="C32" s="29"/>
      <c r="E32" s="26"/>
      <c r="F32" s="29"/>
      <c r="G32" s="26"/>
      <c r="H32" s="115"/>
      <c r="I32" s="36"/>
      <c r="J32" s="36"/>
      <c r="K32" s="36"/>
      <c r="L32" s="71"/>
    </row>
    <row r="33">
      <c r="B33" s="9" t="s">
        <v>378</v>
      </c>
      <c r="C33" s="10"/>
      <c r="D33" s="10"/>
      <c r="E33" s="10"/>
      <c r="F33" s="10"/>
      <c r="G33" s="10"/>
      <c r="H33" s="12"/>
      <c r="I33" s="18"/>
      <c r="J33" s="18"/>
      <c r="K33" s="18"/>
      <c r="L33" s="71"/>
    </row>
    <row r="34">
      <c r="B34" s="27" t="s">
        <v>30</v>
      </c>
      <c r="C34" s="29"/>
      <c r="E34" s="26"/>
      <c r="F34" s="43"/>
      <c r="H34" s="26"/>
      <c r="I34" s="36"/>
      <c r="J34" s="36"/>
      <c r="K34" s="36"/>
      <c r="L34" s="71"/>
    </row>
    <row r="35">
      <c r="B35" s="27" t="s">
        <v>37</v>
      </c>
      <c r="C35" s="38"/>
      <c r="E35" s="26"/>
      <c r="F35" s="58"/>
      <c r="H35" s="26"/>
      <c r="I35" s="36"/>
      <c r="J35" s="36"/>
      <c r="K35" s="36"/>
      <c r="L35" s="71"/>
    </row>
    <row r="36">
      <c r="B36" s="27" t="s">
        <v>42</v>
      </c>
      <c r="C36" s="44"/>
      <c r="E36" s="26"/>
      <c r="F36" s="46"/>
      <c r="H36" s="26"/>
      <c r="I36" s="36"/>
      <c r="J36" s="36"/>
      <c r="K36" s="36"/>
      <c r="L36" s="71"/>
    </row>
    <row r="37">
      <c r="B37" s="27" t="s">
        <v>45</v>
      </c>
      <c r="C37" s="29"/>
      <c r="E37" s="26"/>
      <c r="F37" s="43"/>
      <c r="H37" s="26"/>
      <c r="I37" s="36"/>
      <c r="J37" s="36"/>
      <c r="K37" s="36"/>
      <c r="L37" s="71"/>
    </row>
    <row r="38">
      <c r="B38" s="9" t="s">
        <v>414</v>
      </c>
      <c r="C38" s="10"/>
      <c r="D38" s="10"/>
      <c r="E38" s="10"/>
      <c r="F38" s="10"/>
      <c r="G38" s="10"/>
      <c r="H38" s="12"/>
      <c r="I38" s="18"/>
      <c r="J38" s="18"/>
      <c r="K38" s="18"/>
      <c r="L38" s="71"/>
    </row>
    <row r="39">
      <c r="B39" s="27" t="s">
        <v>30</v>
      </c>
      <c r="C39" s="29"/>
      <c r="D39" s="26"/>
      <c r="E39" s="43"/>
      <c r="F39" s="26"/>
      <c r="G39" s="43"/>
      <c r="H39" s="26"/>
      <c r="I39" s="36"/>
      <c r="J39" s="36"/>
      <c r="K39" s="36"/>
      <c r="L39" s="71"/>
    </row>
    <row r="40">
      <c r="B40" s="27" t="s">
        <v>37</v>
      </c>
      <c r="C40" s="38"/>
      <c r="D40" s="26"/>
      <c r="E40" s="38"/>
      <c r="F40" s="26"/>
      <c r="G40" s="38"/>
      <c r="H40" s="26"/>
      <c r="I40" s="36"/>
      <c r="J40" s="36"/>
      <c r="K40" s="36"/>
      <c r="L40" s="71"/>
    </row>
    <row r="41">
      <c r="B41" s="27" t="s">
        <v>42</v>
      </c>
      <c r="C41" s="44"/>
      <c r="D41" s="26"/>
      <c r="E41" s="44"/>
      <c r="F41" s="26"/>
      <c r="G41" s="44"/>
      <c r="H41" s="26"/>
      <c r="I41" s="36"/>
      <c r="J41" s="36"/>
      <c r="K41" s="36"/>
      <c r="L41" s="71"/>
    </row>
    <row r="42">
      <c r="B42" s="27" t="s">
        <v>45</v>
      </c>
      <c r="C42" s="29"/>
      <c r="D42" s="26"/>
      <c r="E42" s="43"/>
      <c r="F42" s="26"/>
      <c r="G42" s="49"/>
      <c r="H42" s="52"/>
      <c r="I42" s="36"/>
      <c r="J42" s="36"/>
      <c r="K42" s="36"/>
      <c r="L42" s="71"/>
    </row>
    <row r="43">
      <c r="B43" s="9" t="s">
        <v>381</v>
      </c>
      <c r="C43" s="10"/>
      <c r="D43" s="10"/>
      <c r="E43" s="10"/>
      <c r="F43" s="10"/>
      <c r="G43" s="10"/>
      <c r="H43" s="12"/>
      <c r="I43" s="18"/>
      <c r="J43" s="18"/>
      <c r="K43" s="18"/>
      <c r="L43" s="71"/>
    </row>
    <row r="44">
      <c r="B44" s="27" t="s">
        <v>30</v>
      </c>
      <c r="C44" s="29"/>
      <c r="E44" s="26"/>
      <c r="F44" s="43"/>
      <c r="H44" s="26"/>
      <c r="I44" s="36"/>
      <c r="J44" s="36"/>
      <c r="K44" s="36"/>
      <c r="L44" s="71"/>
    </row>
    <row r="45">
      <c r="B45" s="27" t="s">
        <v>37</v>
      </c>
      <c r="C45" s="38"/>
      <c r="E45" s="26"/>
      <c r="F45" s="58"/>
      <c r="H45" s="26"/>
      <c r="I45" s="36"/>
      <c r="J45" s="36"/>
      <c r="K45" s="36"/>
      <c r="L45" s="71"/>
    </row>
    <row r="46">
      <c r="B46" s="27" t="s">
        <v>42</v>
      </c>
      <c r="C46" s="44"/>
      <c r="E46" s="26"/>
      <c r="F46" s="44"/>
      <c r="H46" s="26"/>
      <c r="I46" s="36"/>
      <c r="J46" s="36"/>
      <c r="K46" s="36"/>
      <c r="L46" s="71"/>
    </row>
    <row r="47">
      <c r="B47" s="27" t="s">
        <v>45</v>
      </c>
      <c r="C47" s="49"/>
      <c r="D47" s="53"/>
      <c r="E47" s="52"/>
      <c r="F47" s="43"/>
      <c r="H47" s="26"/>
      <c r="I47" s="36"/>
      <c r="J47" s="36"/>
      <c r="K47" s="36"/>
      <c r="L47" s="71"/>
    </row>
    <row r="48">
      <c r="B48" s="9" t="s">
        <v>382</v>
      </c>
      <c r="C48" s="10"/>
      <c r="D48" s="10"/>
      <c r="E48" s="10"/>
      <c r="F48" s="10"/>
      <c r="G48" s="10"/>
      <c r="H48" s="12"/>
      <c r="I48" s="18"/>
      <c r="J48" s="18"/>
      <c r="K48" s="18"/>
      <c r="L48" s="71"/>
    </row>
    <row r="49">
      <c r="B49" s="40" t="s">
        <v>30</v>
      </c>
      <c r="C49" s="119"/>
      <c r="D49" s="56"/>
      <c r="E49" s="119"/>
      <c r="F49" s="56"/>
      <c r="G49" s="119"/>
      <c r="H49" s="56"/>
      <c r="I49" s="36"/>
      <c r="J49" s="36"/>
      <c r="K49" s="36"/>
      <c r="L49" s="71"/>
    </row>
    <row r="50">
      <c r="B50" s="40" t="s">
        <v>37</v>
      </c>
      <c r="C50" s="120"/>
      <c r="D50" s="26"/>
      <c r="E50" s="121"/>
      <c r="F50" s="26"/>
      <c r="G50" s="121"/>
      <c r="H50" s="26"/>
      <c r="I50" s="36"/>
      <c r="J50" s="36"/>
      <c r="K50" s="36"/>
      <c r="L50" s="71"/>
    </row>
    <row r="51">
      <c r="B51" s="40" t="s">
        <v>42</v>
      </c>
      <c r="C51" s="120"/>
      <c r="D51" s="26"/>
      <c r="E51" s="121"/>
      <c r="F51" s="26"/>
      <c r="G51" s="121"/>
      <c r="H51" s="26"/>
      <c r="I51" s="36"/>
      <c r="J51" s="36"/>
      <c r="K51" s="36"/>
      <c r="L51" s="71"/>
    </row>
    <row r="52">
      <c r="B52" s="48" t="s">
        <v>45</v>
      </c>
      <c r="C52" s="122"/>
      <c r="D52" s="52"/>
      <c r="E52" s="122"/>
      <c r="F52" s="52"/>
      <c r="G52" s="122"/>
      <c r="H52" s="52"/>
      <c r="I52" s="36"/>
      <c r="J52" s="36"/>
      <c r="K52" s="36"/>
      <c r="L52" s="71"/>
    </row>
    <row r="53">
      <c r="I53" s="36"/>
      <c r="J53" s="36"/>
      <c r="K53" s="36"/>
      <c r="L53" s="71"/>
    </row>
    <row r="54">
      <c r="B54" s="3" t="s">
        <v>186</v>
      </c>
      <c r="G54" s="3" t="str">
        <f>SUM(C7,C12,F12,C17,F17,C22,E22,G22,C27,E27,G27,C32,#REF!,#REF!,C37,F37,C47,F47,C52,E52,G52)</f>
        <v>#REF!</v>
      </c>
      <c r="I54" s="36"/>
      <c r="J54" s="36"/>
      <c r="K54" s="36"/>
      <c r="L54" s="71"/>
    </row>
    <row r="55">
      <c r="I55" s="36"/>
      <c r="J55" s="36"/>
      <c r="K55" s="36"/>
    </row>
  </sheetData>
  <mergeCells count="138">
    <mergeCell ref="C4:E4"/>
    <mergeCell ref="C5:E5"/>
    <mergeCell ref="N4:S4"/>
    <mergeCell ref="N5:S5"/>
    <mergeCell ref="C6:E6"/>
    <mergeCell ref="F6:H6"/>
    <mergeCell ref="F5:H5"/>
    <mergeCell ref="C7:E7"/>
    <mergeCell ref="F7:H7"/>
    <mergeCell ref="B8:H8"/>
    <mergeCell ref="M8:S8"/>
    <mergeCell ref="C9:D9"/>
    <mergeCell ref="E9:F9"/>
    <mergeCell ref="G9:H9"/>
    <mergeCell ref="N9:Q9"/>
    <mergeCell ref="R9:S9"/>
    <mergeCell ref="C10:D10"/>
    <mergeCell ref="E10:F10"/>
    <mergeCell ref="G10:H10"/>
    <mergeCell ref="N10:Q10"/>
    <mergeCell ref="R10:S10"/>
    <mergeCell ref="C11:D11"/>
    <mergeCell ref="E11:F11"/>
    <mergeCell ref="G11:H11"/>
    <mergeCell ref="N11:Q11"/>
    <mergeCell ref="R11:S11"/>
    <mergeCell ref="C12:D12"/>
    <mergeCell ref="E12:F12"/>
    <mergeCell ref="G12:H12"/>
    <mergeCell ref="N12:Q12"/>
    <mergeCell ref="R12:S12"/>
    <mergeCell ref="B13:H13"/>
    <mergeCell ref="C14:E14"/>
    <mergeCell ref="F14:H14"/>
    <mergeCell ref="C16:E16"/>
    <mergeCell ref="F16:H16"/>
    <mergeCell ref="N16:P16"/>
    <mergeCell ref="Q16:S16"/>
    <mergeCell ref="M14:S14"/>
    <mergeCell ref="C15:E15"/>
    <mergeCell ref="F15:H15"/>
    <mergeCell ref="N15:P15"/>
    <mergeCell ref="Q15:S15"/>
    <mergeCell ref="C17:E17"/>
    <mergeCell ref="F17:H17"/>
    <mergeCell ref="N17:P17"/>
    <mergeCell ref="Q17:S17"/>
    <mergeCell ref="B18:H18"/>
    <mergeCell ref="N18:P18"/>
    <mergeCell ref="C20:H20"/>
    <mergeCell ref="M20:S20"/>
    <mergeCell ref="C21:H21"/>
    <mergeCell ref="N21:O21"/>
    <mergeCell ref="P21:Q21"/>
    <mergeCell ref="R21:S21"/>
    <mergeCell ref="Q18:S18"/>
    <mergeCell ref="C19:H19"/>
    <mergeCell ref="C22:H22"/>
    <mergeCell ref="N22:O22"/>
    <mergeCell ref="P22:Q22"/>
    <mergeCell ref="R22:S22"/>
    <mergeCell ref="B23:H23"/>
    <mergeCell ref="N23:O23"/>
    <mergeCell ref="P23:Q23"/>
    <mergeCell ref="R23:S23"/>
    <mergeCell ref="C24:E24"/>
    <mergeCell ref="F24:H24"/>
    <mergeCell ref="N24:O24"/>
    <mergeCell ref="P24:Q24"/>
    <mergeCell ref="C42:D42"/>
    <mergeCell ref="E42:F42"/>
    <mergeCell ref="G42:H42"/>
    <mergeCell ref="B43:H43"/>
    <mergeCell ref="C44:E44"/>
    <mergeCell ref="F44:H44"/>
    <mergeCell ref="F45:H45"/>
    <mergeCell ref="C45:E45"/>
    <mergeCell ref="C46:E46"/>
    <mergeCell ref="F46:H46"/>
    <mergeCell ref="C47:E47"/>
    <mergeCell ref="F47:H47"/>
    <mergeCell ref="B48:H48"/>
    <mergeCell ref="C49:D49"/>
    <mergeCell ref="E52:F52"/>
    <mergeCell ref="G52:H52"/>
    <mergeCell ref="B54:F54"/>
    <mergeCell ref="G54:H54"/>
    <mergeCell ref="C50:D50"/>
    <mergeCell ref="E50:F50"/>
    <mergeCell ref="G50:H50"/>
    <mergeCell ref="C51:D51"/>
    <mergeCell ref="E51:F51"/>
    <mergeCell ref="G51:H51"/>
    <mergeCell ref="C52:D52"/>
    <mergeCell ref="B2:H2"/>
    <mergeCell ref="L2:L25"/>
    <mergeCell ref="M2:S2"/>
    <mergeCell ref="B3:H3"/>
    <mergeCell ref="N3:S3"/>
    <mergeCell ref="F4:H4"/>
    <mergeCell ref="N6:S6"/>
    <mergeCell ref="R24:S24"/>
    <mergeCell ref="C25:E25"/>
    <mergeCell ref="F25:H25"/>
    <mergeCell ref="C26:E26"/>
    <mergeCell ref="F26:H26"/>
    <mergeCell ref="F27:H27"/>
    <mergeCell ref="B28:H28"/>
    <mergeCell ref="C27:E27"/>
    <mergeCell ref="C29:E29"/>
    <mergeCell ref="F29:G29"/>
    <mergeCell ref="C30:E30"/>
    <mergeCell ref="F30:G30"/>
    <mergeCell ref="C31:E31"/>
    <mergeCell ref="F31:G31"/>
    <mergeCell ref="C32:E32"/>
    <mergeCell ref="F32:G32"/>
    <mergeCell ref="B33:H33"/>
    <mergeCell ref="C34:E34"/>
    <mergeCell ref="F34:H34"/>
    <mergeCell ref="C35:E35"/>
    <mergeCell ref="F35:H35"/>
    <mergeCell ref="C36:E36"/>
    <mergeCell ref="F36:H36"/>
    <mergeCell ref="C37:E37"/>
    <mergeCell ref="F37:H37"/>
    <mergeCell ref="B38:H38"/>
    <mergeCell ref="E39:F39"/>
    <mergeCell ref="G39:H39"/>
    <mergeCell ref="C39:D39"/>
    <mergeCell ref="C40:D40"/>
    <mergeCell ref="E40:F40"/>
    <mergeCell ref="G40:H40"/>
    <mergeCell ref="C41:D41"/>
    <mergeCell ref="E41:F41"/>
    <mergeCell ref="G41:H41"/>
    <mergeCell ref="E49:F49"/>
    <mergeCell ref="G49:H49"/>
  </mergeCells>
  <conditionalFormatting sqref="C6 C11">
    <cfRule type="cellIs" dxfId="6" priority="1" operator="lessThanOrEqual">
      <formula>TODAY()+0</formula>
    </cfRule>
  </conditionalFormatting>
  <conditionalFormatting sqref="C6 C11">
    <cfRule type="cellIs" dxfId="7" priority="2" operator="lessThanOrEqual">
      <formula>TODAY()+3</formula>
    </cfRule>
  </conditionalFormatting>
  <conditionalFormatting sqref="C6 C11">
    <cfRule type="cellIs" dxfId="8" priority="3" operator="lessThanOrEqual">
      <formula>TODAY()+8</formula>
    </cfRule>
  </conditionalFormatting>
  <conditionalFormatting sqref="C5:C6 C10:C11">
    <cfRule type="expression" dxfId="1" priority="4">
      <formula>$M5=TRUE</formula>
    </cfRule>
  </conditionalFormatting>
  <conditionalFormatting sqref="C14 C24">
    <cfRule type="expression" dxfId="1" priority="5">
      <formula>$L14=TRUE</formula>
    </cfRule>
  </conditionalFormatting>
  <conditionalFormatting sqref="N5 C6:H6 C11:G11 N11 R11 C16:H16 N17 P17:R17 C21:H21 N23 P23 R23 C26:G26 C31:E31 C36:D36 F36:H36 C41 E41 G41:H41 C46:D46">
    <cfRule type="cellIs" dxfId="2" priority="6" operator="lessThanOrEqual">
      <formula>TODAY()-1</formula>
    </cfRule>
  </conditionalFormatting>
  <conditionalFormatting sqref="N5 C6:H6 C11:G11 N11 R11 C16:H16 N17 P17:R17 C21:H21 N23 P23 R23 C26:G26 C31:E31 C36:D36 F36:H36 C41 E41 G41:H41 C46:D46">
    <cfRule type="cellIs" dxfId="3" priority="7" operator="lessThanOrEqual">
      <formula>TODAY()</formula>
    </cfRule>
  </conditionalFormatting>
  <conditionalFormatting sqref="N5 C6:H6 C11:G11 N11 R11 C16:H16 N17 P17:R17 C21:G21 N23 P23 R23 C26:G26 C31:E31 C36:D36 F36:G36 C41 E41 G41:H41 C46:D46">
    <cfRule type="cellIs" dxfId="4" priority="8" operator="lessThanOrEqual">
      <formula>TODAY()+3</formula>
    </cfRule>
  </conditionalFormatting>
  <conditionalFormatting sqref="N5 C6:H6 C11:G11 N11 R11 C16:H16 N17 P17:R17 C21:G21 N23 P23 R23 C26:G26 C31:E31 C36:D36 F36:G36 C41 E41 G41:H41 C46:D46">
    <cfRule type="cellIs" dxfId="5" priority="9" operator="lessThanOrEqual">
      <formula>TODAY()+8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/>
  <cols>
    <col customWidth="1" min="3" max="3" width="24.38"/>
    <col customWidth="1" min="5" max="5" width="8.63"/>
    <col customWidth="1" min="6" max="6" width="6.63"/>
    <col customWidth="1" min="7" max="7" width="6.75"/>
    <col customWidth="1" min="8" max="8" width="5.75"/>
    <col customWidth="1" min="9" max="9" width="6.88"/>
    <col customWidth="1" min="10" max="10" width="7.13"/>
    <col customWidth="1" min="11" max="11" width="3.5"/>
  </cols>
  <sheetData>
    <row r="1">
      <c r="A1" s="3" t="s">
        <v>387</v>
      </c>
    </row>
    <row r="2">
      <c r="A2" s="123" t="s">
        <v>388</v>
      </c>
      <c r="B2" s="55"/>
      <c r="C2" s="56"/>
      <c r="D2" s="5" t="s">
        <v>389</v>
      </c>
      <c r="E2" s="9" t="s">
        <v>2</v>
      </c>
      <c r="F2" s="10"/>
      <c r="G2" s="10"/>
      <c r="H2" s="10"/>
      <c r="I2" s="10"/>
      <c r="J2" s="12"/>
      <c r="K2" s="124"/>
    </row>
    <row r="3">
      <c r="A3" s="125"/>
      <c r="B3" s="53"/>
      <c r="C3" s="52"/>
      <c r="D3" s="14"/>
      <c r="E3" s="11" t="s">
        <v>16</v>
      </c>
      <c r="F3" s="11" t="s">
        <v>20</v>
      </c>
      <c r="G3" s="11" t="s">
        <v>21</v>
      </c>
      <c r="H3" s="11" t="s">
        <v>22</v>
      </c>
      <c r="I3" s="11" t="s">
        <v>23</v>
      </c>
      <c r="J3" s="11" t="s">
        <v>24</v>
      </c>
      <c r="K3" s="124"/>
    </row>
    <row r="4">
      <c r="A4" s="126" t="s">
        <v>392</v>
      </c>
      <c r="B4" s="10"/>
      <c r="C4" s="12"/>
      <c r="D4" s="81">
        <v>46027.0</v>
      </c>
      <c r="E4" s="50"/>
      <c r="F4" s="50"/>
      <c r="G4" s="50"/>
      <c r="H4" s="127"/>
      <c r="I4" s="127"/>
      <c r="J4" s="127"/>
      <c r="K4" s="6" t="b">
        <v>1</v>
      </c>
    </row>
    <row r="5">
      <c r="A5" s="126" t="s">
        <v>393</v>
      </c>
      <c r="B5" s="10"/>
      <c r="C5" s="12"/>
      <c r="D5" s="81">
        <v>46012.0</v>
      </c>
      <c r="E5" s="50"/>
      <c r="F5" s="50"/>
      <c r="G5" s="50"/>
      <c r="H5" s="127"/>
      <c r="I5" s="127"/>
      <c r="J5" s="127"/>
      <c r="K5" s="6" t="b">
        <v>1</v>
      </c>
    </row>
    <row r="6">
      <c r="A6" s="126" t="s">
        <v>395</v>
      </c>
      <c r="B6" s="10"/>
      <c r="C6" s="12"/>
      <c r="D6" s="81">
        <v>46016.0</v>
      </c>
      <c r="E6" s="50"/>
      <c r="F6" s="50"/>
      <c r="G6" s="50"/>
      <c r="H6" s="50"/>
      <c r="I6" s="50"/>
      <c r="J6" s="50"/>
      <c r="K6" s="6" t="b">
        <v>1</v>
      </c>
    </row>
    <row r="7">
      <c r="A7" s="126" t="s">
        <v>397</v>
      </c>
      <c r="B7" s="10"/>
      <c r="C7" s="12"/>
      <c r="D7" s="81">
        <v>46020.0</v>
      </c>
      <c r="E7" s="50"/>
      <c r="F7" s="50"/>
      <c r="G7" s="50"/>
      <c r="H7" s="50"/>
      <c r="I7" s="50"/>
      <c r="J7" s="50"/>
      <c r="K7" s="6" t="b">
        <v>1</v>
      </c>
    </row>
    <row r="8">
      <c r="A8" s="126" t="s">
        <v>398</v>
      </c>
      <c r="B8" s="10"/>
      <c r="C8" s="12"/>
      <c r="D8" s="81">
        <v>46023.0</v>
      </c>
      <c r="E8" s="50"/>
      <c r="F8" s="50"/>
      <c r="G8" s="50"/>
      <c r="H8" s="50"/>
      <c r="I8" s="50"/>
      <c r="J8" s="50"/>
      <c r="K8" s="6" t="b">
        <v>1</v>
      </c>
    </row>
    <row r="9">
      <c r="A9" s="126" t="s">
        <v>399</v>
      </c>
      <c r="B9" s="10"/>
      <c r="C9" s="12"/>
      <c r="D9" s="81">
        <v>46017.0</v>
      </c>
      <c r="E9" s="50"/>
      <c r="F9" s="50"/>
      <c r="G9" s="50"/>
      <c r="H9" s="50"/>
      <c r="I9" s="50"/>
      <c r="J9" s="50"/>
      <c r="K9" s="6" t="b">
        <v>1</v>
      </c>
    </row>
    <row r="10">
      <c r="A10" s="126" t="s">
        <v>400</v>
      </c>
      <c r="B10" s="10"/>
      <c r="C10" s="12"/>
      <c r="D10" s="81">
        <v>46025.0</v>
      </c>
      <c r="E10" s="50"/>
      <c r="F10" s="50"/>
      <c r="G10" s="50"/>
      <c r="H10" s="50"/>
      <c r="I10" s="50"/>
      <c r="J10" s="50"/>
      <c r="K10" s="6" t="b">
        <v>1</v>
      </c>
    </row>
    <row r="11">
      <c r="A11" s="126" t="s">
        <v>402</v>
      </c>
      <c r="B11" s="10"/>
      <c r="C11" s="12"/>
      <c r="D11" s="81">
        <v>46014.0</v>
      </c>
      <c r="E11" s="50"/>
      <c r="F11" s="50"/>
      <c r="G11" s="50"/>
      <c r="H11" s="50"/>
      <c r="I11" s="50"/>
      <c r="J11" s="50"/>
      <c r="K11" s="6" t="b">
        <v>1</v>
      </c>
    </row>
    <row r="12">
      <c r="A12" s="126" t="s">
        <v>403</v>
      </c>
      <c r="B12" s="10"/>
      <c r="C12" s="12"/>
      <c r="D12" s="81">
        <v>46020.0</v>
      </c>
      <c r="E12" s="50"/>
      <c r="F12" s="50"/>
      <c r="G12" s="50"/>
      <c r="H12" s="50"/>
      <c r="I12" s="50"/>
      <c r="J12" s="50"/>
      <c r="K12" s="6" t="b">
        <v>1</v>
      </c>
    </row>
    <row r="13">
      <c r="A13" s="126" t="s">
        <v>403</v>
      </c>
      <c r="B13" s="10"/>
      <c r="C13" s="12"/>
      <c r="D13" s="81">
        <v>46024.0</v>
      </c>
      <c r="E13" s="50"/>
      <c r="F13" s="50"/>
      <c r="G13" s="50"/>
      <c r="H13" s="50"/>
      <c r="I13" s="50"/>
      <c r="J13" s="50"/>
      <c r="K13" s="6" t="b">
        <v>1</v>
      </c>
    </row>
    <row r="14">
      <c r="A14" s="126" t="s">
        <v>405</v>
      </c>
      <c r="B14" s="10"/>
      <c r="C14" s="12"/>
      <c r="D14" s="81">
        <v>46017.0</v>
      </c>
      <c r="E14" s="50"/>
      <c r="F14" s="50"/>
      <c r="G14" s="50"/>
      <c r="H14" s="50"/>
      <c r="I14" s="50"/>
      <c r="J14" s="50"/>
      <c r="K14" s="6" t="b">
        <v>1</v>
      </c>
    </row>
    <row r="15">
      <c r="A15" s="126" t="s">
        <v>406</v>
      </c>
      <c r="B15" s="10"/>
      <c r="C15" s="12"/>
      <c r="D15" s="81">
        <v>46017.0</v>
      </c>
      <c r="E15" s="50"/>
      <c r="F15" s="50"/>
      <c r="G15" s="50"/>
      <c r="H15" s="50"/>
      <c r="I15" s="50"/>
      <c r="J15" s="50"/>
      <c r="K15" s="6" t="b">
        <v>1</v>
      </c>
    </row>
    <row r="16">
      <c r="A16" s="126" t="s">
        <v>407</v>
      </c>
      <c r="B16" s="10"/>
      <c r="C16" s="12"/>
      <c r="D16" s="81">
        <v>46023.0</v>
      </c>
      <c r="E16" s="50"/>
      <c r="F16" s="50"/>
      <c r="G16" s="50"/>
      <c r="H16" s="50"/>
      <c r="I16" s="50"/>
      <c r="J16" s="50"/>
      <c r="K16" s="6" t="b">
        <v>1</v>
      </c>
    </row>
    <row r="17">
      <c r="A17" s="126" t="s">
        <v>408</v>
      </c>
      <c r="B17" s="10"/>
      <c r="C17" s="12"/>
      <c r="D17" s="81">
        <v>46051.0</v>
      </c>
      <c r="E17" s="50">
        <v>450.0</v>
      </c>
      <c r="F17" s="50"/>
      <c r="G17" s="50"/>
      <c r="H17" s="50"/>
      <c r="I17" s="50"/>
      <c r="J17" s="50"/>
      <c r="K17" s="6" t="b">
        <v>1</v>
      </c>
    </row>
    <row r="18">
      <c r="A18" s="126" t="s">
        <v>409</v>
      </c>
      <c r="B18" s="10"/>
      <c r="C18" s="12"/>
      <c r="D18" s="81">
        <v>46109.0</v>
      </c>
      <c r="E18" s="50"/>
      <c r="F18" s="50"/>
      <c r="G18" s="50">
        <v>750.0</v>
      </c>
      <c r="H18" s="50"/>
      <c r="I18" s="50"/>
      <c r="J18" s="50"/>
      <c r="K18" s="6" t="b">
        <v>1</v>
      </c>
    </row>
    <row r="19">
      <c r="A19" s="126" t="s">
        <v>410</v>
      </c>
      <c r="B19" s="10"/>
      <c r="C19" s="12"/>
      <c r="D19" s="81">
        <v>46097.0</v>
      </c>
      <c r="E19" s="50"/>
      <c r="F19" s="50"/>
      <c r="G19" s="50">
        <v>750.0</v>
      </c>
      <c r="H19" s="50"/>
      <c r="I19" s="50"/>
      <c r="J19" s="50"/>
      <c r="K19" s="6" t="b">
        <v>1</v>
      </c>
    </row>
    <row r="20">
      <c r="A20" s="126" t="s">
        <v>410</v>
      </c>
      <c r="B20" s="10"/>
      <c r="C20" s="12"/>
      <c r="D20" s="81">
        <v>46109.0</v>
      </c>
      <c r="E20" s="50"/>
      <c r="F20" s="50"/>
      <c r="G20" s="50">
        <v>750.0</v>
      </c>
      <c r="H20" s="50"/>
      <c r="I20" s="50"/>
      <c r="J20" s="50"/>
      <c r="K20" s="6" t="b">
        <v>1</v>
      </c>
    </row>
    <row r="21">
      <c r="A21" s="126" t="s">
        <v>411</v>
      </c>
      <c r="B21" s="10"/>
      <c r="C21" s="12"/>
      <c r="D21" s="81">
        <v>46109.0</v>
      </c>
      <c r="E21" s="50"/>
      <c r="F21" s="50"/>
      <c r="G21" s="50">
        <v>750.0</v>
      </c>
      <c r="H21" s="50"/>
      <c r="I21" s="50"/>
      <c r="J21" s="50"/>
      <c r="K21" s="6" t="b">
        <v>1</v>
      </c>
    </row>
    <row r="22">
      <c r="A22" s="126" t="s">
        <v>412</v>
      </c>
      <c r="B22" s="10"/>
      <c r="C22" s="12"/>
      <c r="D22" s="81">
        <v>46104.0</v>
      </c>
      <c r="E22" s="50"/>
      <c r="F22" s="50"/>
      <c r="G22" s="50">
        <v>750.0</v>
      </c>
      <c r="H22" s="50"/>
      <c r="I22" s="50"/>
      <c r="J22" s="50"/>
      <c r="K22" s="6" t="b">
        <v>1</v>
      </c>
    </row>
    <row r="23">
      <c r="A23" s="126" t="s">
        <v>145</v>
      </c>
      <c r="B23" s="10"/>
      <c r="C23" s="12"/>
      <c r="D23" s="81">
        <v>46128.0</v>
      </c>
      <c r="E23" s="50"/>
      <c r="F23" s="50"/>
      <c r="G23" s="50"/>
      <c r="H23" s="50">
        <v>450.0</v>
      </c>
      <c r="I23" s="50">
        <v>450.0</v>
      </c>
      <c r="J23" s="50"/>
      <c r="K23" s="6" t="b">
        <v>0</v>
      </c>
    </row>
    <row r="24">
      <c r="A24" s="126"/>
      <c r="B24" s="10"/>
      <c r="C24" s="12"/>
      <c r="D24" s="81"/>
      <c r="E24" s="50"/>
      <c r="F24" s="50"/>
      <c r="G24" s="50"/>
      <c r="H24" s="50"/>
      <c r="I24" s="50"/>
      <c r="J24" s="50"/>
      <c r="K24" s="105" t="b">
        <v>0</v>
      </c>
    </row>
    <row r="25">
      <c r="A25" s="126"/>
      <c r="B25" s="10"/>
      <c r="C25" s="12"/>
      <c r="D25" s="81"/>
      <c r="E25" s="50"/>
      <c r="F25" s="50"/>
      <c r="G25" s="50"/>
      <c r="H25" s="50"/>
      <c r="I25" s="50"/>
      <c r="J25" s="50"/>
      <c r="K25" s="105" t="b">
        <v>0</v>
      </c>
    </row>
    <row r="26">
      <c r="A26" s="126"/>
      <c r="B26" s="10"/>
      <c r="C26" s="12"/>
      <c r="D26" s="81"/>
      <c r="E26" s="50"/>
      <c r="F26" s="50"/>
      <c r="G26" s="50"/>
      <c r="H26" s="50"/>
      <c r="I26" s="50"/>
      <c r="J26" s="50"/>
      <c r="K26" s="105" t="b">
        <v>0</v>
      </c>
    </row>
    <row r="27">
      <c r="A27" s="126"/>
      <c r="B27" s="10"/>
      <c r="C27" s="12"/>
      <c r="D27" s="81"/>
      <c r="E27" s="50"/>
      <c r="F27" s="50"/>
      <c r="G27" s="50"/>
      <c r="H27" s="50"/>
      <c r="I27" s="50"/>
      <c r="J27" s="50"/>
      <c r="K27" s="105" t="b">
        <v>0</v>
      </c>
    </row>
    <row r="28">
      <c r="A28" s="126"/>
      <c r="B28" s="10"/>
      <c r="C28" s="12"/>
      <c r="D28" s="81"/>
      <c r="E28" s="50"/>
      <c r="F28" s="50"/>
      <c r="G28" s="50"/>
      <c r="H28" s="50"/>
      <c r="I28" s="50"/>
      <c r="J28" s="50"/>
      <c r="K28" s="105" t="b">
        <v>0</v>
      </c>
    </row>
    <row r="29">
      <c r="A29" s="126"/>
      <c r="B29" s="10"/>
      <c r="C29" s="12"/>
      <c r="D29" s="81"/>
      <c r="E29" s="50"/>
      <c r="F29" s="50"/>
      <c r="G29" s="50"/>
      <c r="H29" s="50"/>
      <c r="I29" s="50"/>
      <c r="J29" s="50"/>
      <c r="K29" s="105" t="b">
        <v>0</v>
      </c>
    </row>
    <row r="30">
      <c r="A30" s="126"/>
      <c r="B30" s="10"/>
      <c r="C30" s="12"/>
      <c r="D30" s="81"/>
      <c r="E30" s="50"/>
      <c r="F30" s="50"/>
      <c r="G30" s="50"/>
      <c r="H30" s="50"/>
      <c r="I30" s="50"/>
      <c r="J30" s="50"/>
      <c r="K30" s="105" t="b">
        <v>0</v>
      </c>
    </row>
    <row r="31">
      <c r="A31" s="126"/>
      <c r="B31" s="10"/>
      <c r="C31" s="12"/>
      <c r="D31" s="81"/>
      <c r="E31" s="50"/>
      <c r="F31" s="50"/>
      <c r="G31" s="50"/>
      <c r="H31" s="50"/>
      <c r="I31" s="50"/>
      <c r="J31" s="50"/>
      <c r="K31" s="105" t="b">
        <v>0</v>
      </c>
    </row>
    <row r="32">
      <c r="A32" s="126"/>
      <c r="B32" s="10"/>
      <c r="C32" s="12"/>
      <c r="D32" s="81"/>
      <c r="E32" s="50"/>
      <c r="F32" s="50"/>
      <c r="G32" s="50"/>
      <c r="H32" s="50"/>
      <c r="I32" s="50"/>
      <c r="J32" s="50"/>
      <c r="K32" s="105" t="b">
        <v>0</v>
      </c>
    </row>
    <row r="33">
      <c r="A33" s="126"/>
      <c r="B33" s="10"/>
      <c r="C33" s="12"/>
      <c r="D33" s="81"/>
      <c r="E33" s="50"/>
      <c r="F33" s="50"/>
      <c r="G33" s="50"/>
      <c r="H33" s="50"/>
      <c r="I33" s="50"/>
      <c r="J33" s="50"/>
      <c r="K33" s="105" t="b">
        <v>0</v>
      </c>
    </row>
    <row r="34">
      <c r="A34" s="126"/>
      <c r="B34" s="10"/>
      <c r="C34" s="12"/>
      <c r="D34" s="81"/>
      <c r="E34" s="50"/>
      <c r="F34" s="50"/>
      <c r="G34" s="50"/>
      <c r="H34" s="50"/>
      <c r="I34" s="50"/>
      <c r="J34" s="50"/>
      <c r="K34" s="105" t="b">
        <v>0</v>
      </c>
    </row>
    <row r="35">
      <c r="A35" s="126"/>
      <c r="B35" s="10"/>
      <c r="C35" s="12"/>
      <c r="D35" s="81"/>
      <c r="E35" s="50"/>
      <c r="F35" s="50"/>
      <c r="G35" s="50"/>
      <c r="H35" s="50"/>
      <c r="I35" s="50"/>
      <c r="J35" s="50"/>
      <c r="K35" s="105" t="b">
        <v>0</v>
      </c>
    </row>
    <row r="36">
      <c r="A36" s="126"/>
      <c r="B36" s="10"/>
      <c r="C36" s="12"/>
      <c r="D36" s="81"/>
      <c r="E36" s="50"/>
      <c r="F36" s="50"/>
      <c r="G36" s="50"/>
      <c r="H36" s="50"/>
      <c r="I36" s="50"/>
      <c r="J36" s="50"/>
      <c r="K36" s="105" t="b">
        <v>0</v>
      </c>
    </row>
    <row r="37">
      <c r="A37" s="126"/>
      <c r="B37" s="10"/>
      <c r="C37" s="12"/>
      <c r="D37" s="81"/>
      <c r="E37" s="50"/>
      <c r="F37" s="50"/>
      <c r="G37" s="50"/>
      <c r="H37" s="50"/>
      <c r="I37" s="50"/>
      <c r="J37" s="50"/>
      <c r="K37" s="105" t="b">
        <v>0</v>
      </c>
    </row>
    <row r="38">
      <c r="A38" s="126"/>
      <c r="B38" s="10"/>
      <c r="C38" s="12"/>
      <c r="D38" s="81"/>
      <c r="E38" s="50"/>
      <c r="F38" s="50"/>
      <c r="G38" s="50"/>
      <c r="H38" s="50"/>
      <c r="I38" s="50"/>
      <c r="J38" s="50"/>
      <c r="K38" s="105" t="b">
        <v>0</v>
      </c>
    </row>
    <row r="39">
      <c r="A39" s="126"/>
      <c r="B39" s="10"/>
      <c r="C39" s="12"/>
      <c r="D39" s="81"/>
      <c r="E39" s="50"/>
      <c r="F39" s="50"/>
      <c r="G39" s="50"/>
      <c r="H39" s="50"/>
      <c r="I39" s="50"/>
      <c r="J39" s="50"/>
      <c r="K39" s="105" t="b">
        <v>0</v>
      </c>
    </row>
    <row r="40">
      <c r="A40" s="126"/>
      <c r="B40" s="10"/>
      <c r="C40" s="12"/>
      <c r="D40" s="81"/>
      <c r="E40" s="50"/>
      <c r="F40" s="50"/>
      <c r="G40" s="50"/>
      <c r="H40" s="50"/>
      <c r="I40" s="50"/>
      <c r="J40" s="50"/>
      <c r="K40" s="105" t="b">
        <v>0</v>
      </c>
    </row>
    <row r="41">
      <c r="A41" s="126"/>
      <c r="B41" s="10"/>
      <c r="C41" s="12"/>
      <c r="D41" s="81"/>
      <c r="E41" s="50"/>
      <c r="F41" s="50"/>
      <c r="G41" s="50"/>
      <c r="H41" s="50"/>
      <c r="I41" s="50"/>
      <c r="J41" s="50"/>
      <c r="K41" s="105" t="b">
        <v>0</v>
      </c>
    </row>
    <row r="42">
      <c r="A42" s="126"/>
      <c r="B42" s="10"/>
      <c r="C42" s="12"/>
      <c r="D42" s="81"/>
      <c r="E42" s="50"/>
      <c r="F42" s="50"/>
      <c r="G42" s="50"/>
      <c r="H42" s="50"/>
      <c r="I42" s="50"/>
      <c r="J42" s="50"/>
      <c r="K42" s="105" t="b">
        <v>0</v>
      </c>
    </row>
    <row r="43">
      <c r="A43" s="126"/>
      <c r="B43" s="10"/>
      <c r="C43" s="12"/>
      <c r="D43" s="81"/>
      <c r="E43" s="50"/>
      <c r="F43" s="50"/>
      <c r="G43" s="50"/>
      <c r="H43" s="50"/>
      <c r="I43" s="50"/>
      <c r="J43" s="50"/>
      <c r="K43" s="105" t="b">
        <v>0</v>
      </c>
    </row>
    <row r="44">
      <c r="A44" s="126"/>
      <c r="B44" s="10"/>
      <c r="C44" s="12"/>
      <c r="D44" s="81"/>
      <c r="E44" s="50"/>
      <c r="F44" s="50"/>
      <c r="G44" s="50"/>
      <c r="H44" s="50"/>
      <c r="I44" s="50"/>
      <c r="J44" s="50"/>
      <c r="K44" s="105" t="b">
        <v>0</v>
      </c>
    </row>
    <row r="45">
      <c r="A45" s="126"/>
      <c r="B45" s="10"/>
      <c r="C45" s="12"/>
      <c r="D45" s="81"/>
      <c r="E45" s="50"/>
      <c r="F45" s="50"/>
      <c r="G45" s="50"/>
      <c r="H45" s="50"/>
      <c r="I45" s="50"/>
      <c r="J45" s="50"/>
      <c r="K45" s="105" t="b">
        <v>0</v>
      </c>
    </row>
    <row r="46">
      <c r="A46" s="126"/>
      <c r="B46" s="10"/>
      <c r="C46" s="12"/>
      <c r="D46" s="81"/>
      <c r="E46" s="50"/>
      <c r="F46" s="50"/>
      <c r="G46" s="50"/>
      <c r="H46" s="50"/>
      <c r="I46" s="50"/>
      <c r="J46" s="50"/>
      <c r="K46" s="105" t="b">
        <v>0</v>
      </c>
    </row>
    <row r="47">
      <c r="A47" s="126"/>
      <c r="B47" s="10"/>
      <c r="C47" s="12"/>
      <c r="D47" s="81"/>
      <c r="E47" s="50"/>
      <c r="F47" s="50"/>
      <c r="G47" s="50"/>
      <c r="H47" s="50"/>
      <c r="I47" s="50"/>
      <c r="J47" s="50"/>
      <c r="K47" s="105" t="b">
        <v>0</v>
      </c>
    </row>
    <row r="48">
      <c r="A48" s="126"/>
      <c r="B48" s="10"/>
      <c r="C48" s="12"/>
      <c r="D48" s="81"/>
      <c r="E48" s="50"/>
      <c r="F48" s="50"/>
      <c r="G48" s="50"/>
      <c r="H48" s="50"/>
      <c r="I48" s="50"/>
      <c r="J48" s="50"/>
      <c r="K48" s="105" t="b">
        <v>0</v>
      </c>
    </row>
    <row r="49">
      <c r="A49" s="126"/>
      <c r="B49" s="10"/>
      <c r="C49" s="12"/>
      <c r="D49" s="81"/>
      <c r="E49" s="50"/>
      <c r="F49" s="50"/>
      <c r="G49" s="50"/>
      <c r="H49" s="50"/>
      <c r="I49" s="50"/>
      <c r="J49" s="50"/>
      <c r="K49" s="105" t="b">
        <v>0</v>
      </c>
    </row>
    <row r="50">
      <c r="A50" s="126"/>
      <c r="B50" s="10"/>
      <c r="C50" s="12"/>
      <c r="D50" s="81"/>
      <c r="E50" s="50"/>
      <c r="F50" s="50"/>
      <c r="G50" s="50"/>
      <c r="H50" s="50"/>
      <c r="I50" s="50"/>
      <c r="J50" s="50"/>
      <c r="K50" s="105" t="b">
        <v>0</v>
      </c>
    </row>
    <row r="51">
      <c r="A51" s="126"/>
      <c r="B51" s="10"/>
      <c r="C51" s="12"/>
      <c r="D51" s="81"/>
      <c r="E51" s="50"/>
      <c r="F51" s="50"/>
      <c r="G51" s="50"/>
      <c r="H51" s="50"/>
      <c r="I51" s="50"/>
      <c r="J51" s="50"/>
      <c r="K51" s="105" t="b">
        <v>0</v>
      </c>
    </row>
    <row r="52">
      <c r="A52" s="126"/>
      <c r="B52" s="10"/>
      <c r="C52" s="12"/>
      <c r="D52" s="81"/>
      <c r="E52" s="50"/>
      <c r="F52" s="50"/>
      <c r="G52" s="50"/>
      <c r="H52" s="50"/>
      <c r="I52" s="50"/>
      <c r="J52" s="50"/>
      <c r="K52" s="105" t="b">
        <v>0</v>
      </c>
    </row>
    <row r="53">
      <c r="A53" s="126"/>
      <c r="B53" s="10"/>
      <c r="C53" s="12"/>
      <c r="D53" s="81"/>
      <c r="E53" s="50"/>
      <c r="F53" s="50"/>
      <c r="G53" s="50"/>
      <c r="H53" s="50"/>
      <c r="I53" s="50"/>
      <c r="J53" s="50"/>
      <c r="K53" s="105" t="b">
        <v>0</v>
      </c>
    </row>
    <row r="54">
      <c r="A54" s="126"/>
      <c r="B54" s="10"/>
      <c r="C54" s="12"/>
      <c r="D54" s="81"/>
      <c r="E54" s="50"/>
      <c r="F54" s="50"/>
      <c r="G54" s="50"/>
      <c r="H54" s="50"/>
      <c r="I54" s="50"/>
      <c r="J54" s="50"/>
      <c r="K54" s="105" t="b">
        <v>0</v>
      </c>
    </row>
    <row r="55">
      <c r="A55" s="126"/>
      <c r="B55" s="10"/>
      <c r="C55" s="12"/>
      <c r="D55" s="81"/>
      <c r="E55" s="50"/>
      <c r="F55" s="50"/>
      <c r="G55" s="50"/>
      <c r="H55" s="50"/>
      <c r="I55" s="50"/>
      <c r="J55" s="50"/>
      <c r="K55" s="105" t="b">
        <v>0</v>
      </c>
    </row>
    <row r="56">
      <c r="A56" s="126"/>
      <c r="B56" s="10"/>
      <c r="C56" s="12"/>
      <c r="D56" s="81"/>
      <c r="E56" s="50"/>
      <c r="F56" s="50"/>
      <c r="G56" s="50"/>
      <c r="H56" s="50"/>
      <c r="I56" s="50"/>
      <c r="J56" s="50"/>
      <c r="K56" s="105" t="b">
        <v>0</v>
      </c>
    </row>
    <row r="57">
      <c r="A57" s="126"/>
      <c r="B57" s="10"/>
      <c r="C57" s="12"/>
      <c r="D57" s="81"/>
      <c r="E57" s="50"/>
      <c r="F57" s="50"/>
      <c r="G57" s="50"/>
      <c r="H57" s="50"/>
      <c r="I57" s="50"/>
      <c r="J57" s="50"/>
      <c r="K57" s="105" t="b">
        <v>0</v>
      </c>
    </row>
    <row r="58">
      <c r="A58" s="126"/>
      <c r="B58" s="10"/>
      <c r="C58" s="12"/>
      <c r="D58" s="81"/>
      <c r="E58" s="50"/>
      <c r="F58" s="50"/>
      <c r="G58" s="50"/>
      <c r="H58" s="50"/>
      <c r="I58" s="50"/>
      <c r="J58" s="50"/>
      <c r="K58" s="105" t="b">
        <v>0</v>
      </c>
    </row>
    <row r="59">
      <c r="A59" s="126"/>
      <c r="B59" s="10"/>
      <c r="C59" s="12"/>
      <c r="D59" s="81"/>
      <c r="E59" s="50"/>
      <c r="F59" s="50"/>
      <c r="G59" s="50"/>
      <c r="H59" s="50"/>
      <c r="I59" s="50"/>
      <c r="J59" s="50"/>
      <c r="K59" s="105" t="b">
        <v>0</v>
      </c>
    </row>
    <row r="60">
      <c r="A60" s="126"/>
      <c r="B60" s="10"/>
      <c r="C60" s="12"/>
      <c r="D60" s="81"/>
      <c r="E60" s="50"/>
      <c r="F60" s="50"/>
      <c r="G60" s="50"/>
      <c r="H60" s="50"/>
      <c r="I60" s="50"/>
      <c r="J60" s="50"/>
      <c r="K60" s="105" t="b">
        <v>0</v>
      </c>
    </row>
    <row r="61">
      <c r="A61" s="126"/>
      <c r="B61" s="10"/>
      <c r="C61" s="12"/>
      <c r="D61" s="81"/>
      <c r="E61" s="50"/>
      <c r="F61" s="50"/>
      <c r="G61" s="50"/>
      <c r="H61" s="50"/>
      <c r="I61" s="50"/>
      <c r="J61" s="50"/>
      <c r="K61" s="105" t="b">
        <v>0</v>
      </c>
    </row>
    <row r="62">
      <c r="A62" s="126"/>
      <c r="B62" s="10"/>
      <c r="C62" s="12"/>
      <c r="D62" s="81"/>
      <c r="E62" s="50"/>
      <c r="F62" s="50"/>
      <c r="G62" s="50"/>
      <c r="H62" s="50"/>
      <c r="I62" s="50"/>
      <c r="J62" s="50"/>
      <c r="K62" s="105" t="b">
        <v>0</v>
      </c>
    </row>
    <row r="63">
      <c r="A63" s="126"/>
      <c r="B63" s="10"/>
      <c r="C63" s="12"/>
      <c r="D63" s="81"/>
      <c r="E63" s="50"/>
      <c r="F63" s="50"/>
      <c r="G63" s="50"/>
      <c r="H63" s="50"/>
      <c r="I63" s="50"/>
      <c r="J63" s="50"/>
      <c r="K63" s="105" t="b">
        <v>0</v>
      </c>
    </row>
    <row r="64">
      <c r="A64" s="126"/>
      <c r="B64" s="10"/>
      <c r="C64" s="12"/>
      <c r="D64" s="81"/>
      <c r="E64" s="50"/>
      <c r="F64" s="50"/>
      <c r="G64" s="50"/>
      <c r="H64" s="50"/>
      <c r="I64" s="50"/>
      <c r="J64" s="50"/>
      <c r="K64" s="105" t="b">
        <v>0</v>
      </c>
    </row>
    <row r="65">
      <c r="A65" s="126"/>
      <c r="B65" s="10"/>
      <c r="C65" s="12"/>
      <c r="D65" s="81"/>
      <c r="E65" s="50"/>
      <c r="F65" s="50"/>
      <c r="G65" s="50"/>
      <c r="H65" s="50"/>
      <c r="I65" s="50"/>
      <c r="J65" s="50"/>
      <c r="K65" s="105" t="b">
        <v>0</v>
      </c>
    </row>
    <row r="66">
      <c r="A66" s="126"/>
      <c r="B66" s="10"/>
      <c r="C66" s="12"/>
      <c r="D66" s="81"/>
      <c r="E66" s="50"/>
      <c r="F66" s="50"/>
      <c r="G66" s="50"/>
      <c r="H66" s="50"/>
      <c r="I66" s="50"/>
      <c r="J66" s="50"/>
      <c r="K66" s="105" t="b">
        <v>0</v>
      </c>
    </row>
    <row r="67">
      <c r="A67" s="126"/>
      <c r="B67" s="10"/>
      <c r="C67" s="12"/>
      <c r="D67" s="81"/>
      <c r="E67" s="50"/>
      <c r="F67" s="50"/>
      <c r="G67" s="50"/>
      <c r="H67" s="50"/>
      <c r="I67" s="50"/>
      <c r="J67" s="50"/>
      <c r="K67" s="105" t="b">
        <v>0</v>
      </c>
    </row>
    <row r="68">
      <c r="A68" s="126"/>
      <c r="B68" s="10"/>
      <c r="C68" s="12"/>
      <c r="D68" s="81"/>
      <c r="E68" s="50"/>
      <c r="F68" s="50"/>
      <c r="G68" s="50"/>
      <c r="H68" s="50"/>
      <c r="I68" s="50"/>
      <c r="J68" s="50"/>
      <c r="K68" s="105" t="b">
        <v>0</v>
      </c>
    </row>
    <row r="69">
      <c r="A69" s="126"/>
      <c r="B69" s="10"/>
      <c r="C69" s="12"/>
      <c r="D69" s="81"/>
      <c r="E69" s="50"/>
      <c r="F69" s="50"/>
      <c r="G69" s="50"/>
      <c r="H69" s="50"/>
      <c r="I69" s="50"/>
      <c r="J69" s="50"/>
      <c r="K69" s="105" t="b">
        <v>0</v>
      </c>
    </row>
    <row r="70">
      <c r="A70" s="126"/>
      <c r="B70" s="10"/>
      <c r="C70" s="12"/>
      <c r="D70" s="81"/>
      <c r="E70" s="50"/>
      <c r="F70" s="50"/>
      <c r="G70" s="50"/>
      <c r="H70" s="50"/>
      <c r="I70" s="50"/>
      <c r="J70" s="50"/>
      <c r="K70" s="105" t="b">
        <v>0</v>
      </c>
    </row>
    <row r="71">
      <c r="A71" s="126"/>
      <c r="B71" s="10"/>
      <c r="C71" s="12"/>
      <c r="D71" s="81"/>
      <c r="E71" s="50"/>
      <c r="F71" s="50"/>
      <c r="G71" s="50"/>
      <c r="H71" s="50"/>
      <c r="I71" s="50"/>
      <c r="J71" s="50"/>
      <c r="K71" s="105" t="b">
        <v>0</v>
      </c>
    </row>
    <row r="72">
      <c r="A72" s="126"/>
      <c r="B72" s="10"/>
      <c r="C72" s="12"/>
      <c r="D72" s="81"/>
      <c r="E72" s="50"/>
      <c r="F72" s="50"/>
      <c r="G72" s="50"/>
      <c r="H72" s="50"/>
      <c r="I72" s="50"/>
      <c r="J72" s="50"/>
      <c r="K72" s="105" t="b">
        <v>0</v>
      </c>
    </row>
    <row r="73">
      <c r="A73" s="126"/>
      <c r="B73" s="10"/>
      <c r="C73" s="12"/>
      <c r="D73" s="81"/>
      <c r="E73" s="50"/>
      <c r="F73" s="50"/>
      <c r="G73" s="50"/>
      <c r="H73" s="50"/>
      <c r="I73" s="50"/>
      <c r="J73" s="50"/>
      <c r="K73" s="105" t="b">
        <v>0</v>
      </c>
    </row>
    <row r="74">
      <c r="A74" s="126"/>
      <c r="B74" s="10"/>
      <c r="C74" s="12"/>
      <c r="D74" s="81"/>
      <c r="E74" s="50"/>
      <c r="F74" s="50"/>
      <c r="G74" s="50"/>
      <c r="H74" s="50"/>
      <c r="I74" s="50"/>
      <c r="J74" s="50"/>
      <c r="K74" s="105" t="b">
        <v>0</v>
      </c>
    </row>
    <row r="75">
      <c r="A75" s="126"/>
      <c r="B75" s="10"/>
      <c r="C75" s="12"/>
      <c r="D75" s="81"/>
      <c r="E75" s="50"/>
      <c r="F75" s="50"/>
      <c r="G75" s="50"/>
      <c r="H75" s="50"/>
      <c r="I75" s="50"/>
      <c r="J75" s="50"/>
      <c r="K75" s="105" t="b">
        <v>0</v>
      </c>
    </row>
    <row r="76">
      <c r="A76" s="126"/>
      <c r="B76" s="10"/>
      <c r="C76" s="12"/>
      <c r="D76" s="81"/>
      <c r="E76" s="50"/>
      <c r="F76" s="50"/>
      <c r="G76" s="50"/>
      <c r="H76" s="50"/>
      <c r="I76" s="50"/>
      <c r="J76" s="50"/>
      <c r="K76" s="105" t="b">
        <v>0</v>
      </c>
    </row>
    <row r="77">
      <c r="A77" s="126"/>
      <c r="B77" s="10"/>
      <c r="C77" s="12"/>
      <c r="D77" s="81"/>
      <c r="E77" s="50"/>
      <c r="F77" s="50"/>
      <c r="G77" s="50"/>
      <c r="H77" s="50"/>
      <c r="I77" s="50"/>
      <c r="J77" s="50"/>
      <c r="K77" s="105" t="b">
        <v>0</v>
      </c>
    </row>
    <row r="78">
      <c r="A78" s="126"/>
      <c r="B78" s="10"/>
      <c r="C78" s="12"/>
      <c r="D78" s="81"/>
      <c r="E78" s="50"/>
      <c r="F78" s="50"/>
      <c r="G78" s="50"/>
      <c r="H78" s="50"/>
      <c r="I78" s="50"/>
      <c r="J78" s="50"/>
      <c r="K78" s="105" t="b">
        <v>0</v>
      </c>
    </row>
    <row r="79">
      <c r="A79" s="126"/>
      <c r="B79" s="10"/>
      <c r="C79" s="12"/>
      <c r="D79" s="81"/>
      <c r="E79" s="50"/>
      <c r="F79" s="50"/>
      <c r="G79" s="50"/>
      <c r="H79" s="50"/>
      <c r="I79" s="50"/>
      <c r="J79" s="50"/>
      <c r="K79" s="105" t="b">
        <v>0</v>
      </c>
    </row>
    <row r="80">
      <c r="A80" s="126"/>
      <c r="B80" s="10"/>
      <c r="C80" s="12"/>
      <c r="D80" s="81"/>
      <c r="E80" s="50"/>
      <c r="F80" s="50"/>
      <c r="G80" s="50"/>
      <c r="H80" s="50"/>
      <c r="I80" s="50"/>
      <c r="J80" s="50"/>
      <c r="K80" s="105" t="b">
        <v>0</v>
      </c>
    </row>
    <row r="81">
      <c r="A81" s="126"/>
      <c r="B81" s="10"/>
      <c r="C81" s="12"/>
      <c r="D81" s="81"/>
      <c r="E81" s="50"/>
      <c r="F81" s="50"/>
      <c r="G81" s="50"/>
      <c r="H81" s="50"/>
      <c r="I81" s="50"/>
      <c r="J81" s="50"/>
      <c r="K81" s="105" t="b">
        <v>0</v>
      </c>
    </row>
    <row r="82">
      <c r="A82" s="126"/>
      <c r="B82" s="10"/>
      <c r="C82" s="12"/>
      <c r="D82" s="81"/>
      <c r="E82" s="50"/>
      <c r="F82" s="50"/>
      <c r="G82" s="50"/>
      <c r="H82" s="50"/>
      <c r="I82" s="50"/>
      <c r="J82" s="50"/>
      <c r="K82" s="105" t="b">
        <v>0</v>
      </c>
    </row>
    <row r="83">
      <c r="A83" s="126"/>
      <c r="B83" s="10"/>
      <c r="C83" s="12"/>
      <c r="D83" s="81"/>
      <c r="E83" s="50"/>
      <c r="F83" s="50"/>
      <c r="G83" s="50"/>
      <c r="H83" s="50"/>
      <c r="I83" s="50"/>
      <c r="J83" s="50"/>
      <c r="K83" s="105" t="b">
        <v>0</v>
      </c>
    </row>
    <row r="84">
      <c r="A84" s="126"/>
      <c r="B84" s="10"/>
      <c r="C84" s="12"/>
      <c r="D84" s="81"/>
      <c r="E84" s="50"/>
      <c r="F84" s="50"/>
      <c r="G84" s="50"/>
      <c r="H84" s="50"/>
      <c r="I84" s="50"/>
      <c r="J84" s="50"/>
      <c r="K84" s="105" t="b">
        <v>0</v>
      </c>
    </row>
    <row r="85">
      <c r="A85" s="126"/>
      <c r="B85" s="10"/>
      <c r="C85" s="12"/>
      <c r="D85" s="81"/>
      <c r="E85" s="50"/>
      <c r="F85" s="50"/>
      <c r="G85" s="50"/>
      <c r="H85" s="50"/>
      <c r="I85" s="50"/>
      <c r="J85" s="50"/>
      <c r="K85" s="105" t="b">
        <v>0</v>
      </c>
    </row>
    <row r="86">
      <c r="A86" s="126"/>
      <c r="B86" s="10"/>
      <c r="C86" s="12"/>
      <c r="D86" s="81"/>
      <c r="E86" s="50"/>
      <c r="F86" s="50"/>
      <c r="G86" s="50"/>
      <c r="H86" s="50"/>
      <c r="I86" s="50"/>
      <c r="J86" s="50"/>
      <c r="K86" s="105" t="b">
        <v>0</v>
      </c>
    </row>
    <row r="87">
      <c r="A87" s="126"/>
      <c r="B87" s="10"/>
      <c r="C87" s="12"/>
      <c r="D87" s="81"/>
      <c r="E87" s="50"/>
      <c r="F87" s="50"/>
      <c r="G87" s="50"/>
      <c r="H87" s="50"/>
      <c r="I87" s="50"/>
      <c r="J87" s="50"/>
      <c r="K87" s="105" t="b">
        <v>0</v>
      </c>
    </row>
    <row r="88">
      <c r="A88" s="126"/>
      <c r="B88" s="10"/>
      <c r="C88" s="12"/>
      <c r="D88" s="81"/>
      <c r="E88" s="50"/>
      <c r="F88" s="50"/>
      <c r="G88" s="50"/>
      <c r="H88" s="50"/>
      <c r="I88" s="50"/>
      <c r="J88" s="50"/>
      <c r="K88" s="105" t="b">
        <v>0</v>
      </c>
    </row>
    <row r="89">
      <c r="A89" s="126"/>
      <c r="B89" s="10"/>
      <c r="C89" s="12"/>
      <c r="D89" s="81"/>
      <c r="E89" s="50"/>
      <c r="F89" s="50"/>
      <c r="G89" s="50"/>
      <c r="H89" s="50"/>
      <c r="I89" s="50"/>
      <c r="J89" s="50"/>
      <c r="K89" s="105" t="b">
        <v>0</v>
      </c>
    </row>
    <row r="90">
      <c r="A90" s="126"/>
      <c r="B90" s="10"/>
      <c r="C90" s="12"/>
      <c r="D90" s="81"/>
      <c r="E90" s="50"/>
      <c r="F90" s="50"/>
      <c r="G90" s="50"/>
      <c r="H90" s="50"/>
      <c r="I90" s="50"/>
      <c r="J90" s="50"/>
      <c r="K90" s="105" t="b">
        <v>0</v>
      </c>
    </row>
    <row r="91">
      <c r="A91" s="126"/>
      <c r="B91" s="10"/>
      <c r="C91" s="12"/>
      <c r="D91" s="81"/>
      <c r="E91" s="50"/>
      <c r="F91" s="50"/>
      <c r="G91" s="50"/>
      <c r="H91" s="50"/>
      <c r="I91" s="50"/>
      <c r="J91" s="50"/>
      <c r="K91" s="105" t="b">
        <v>0</v>
      </c>
    </row>
    <row r="92">
      <c r="A92" s="126"/>
      <c r="B92" s="10"/>
      <c r="C92" s="12"/>
      <c r="D92" s="81"/>
      <c r="E92" s="50"/>
      <c r="F92" s="50"/>
      <c r="G92" s="50"/>
      <c r="H92" s="50"/>
      <c r="I92" s="50"/>
      <c r="J92" s="50"/>
      <c r="K92" s="105" t="b">
        <v>0</v>
      </c>
    </row>
    <row r="93">
      <c r="A93" s="126"/>
      <c r="B93" s="10"/>
      <c r="C93" s="12"/>
      <c r="D93" s="81"/>
      <c r="E93" s="50"/>
      <c r="F93" s="50"/>
      <c r="G93" s="50"/>
      <c r="H93" s="50"/>
      <c r="I93" s="50"/>
      <c r="J93" s="50"/>
      <c r="K93" s="105" t="b">
        <v>0</v>
      </c>
    </row>
    <row r="94">
      <c r="A94" s="126"/>
      <c r="B94" s="10"/>
      <c r="C94" s="12"/>
      <c r="D94" s="81"/>
      <c r="E94" s="50"/>
      <c r="F94" s="50"/>
      <c r="G94" s="50"/>
      <c r="H94" s="50"/>
      <c r="I94" s="50"/>
      <c r="J94" s="50"/>
      <c r="K94" s="105" t="b">
        <v>0</v>
      </c>
    </row>
    <row r="95">
      <c r="A95" s="126"/>
      <c r="B95" s="10"/>
      <c r="C95" s="12"/>
      <c r="D95" s="81"/>
      <c r="E95" s="50"/>
      <c r="F95" s="50"/>
      <c r="G95" s="50"/>
      <c r="H95" s="50"/>
      <c r="I95" s="50"/>
      <c r="J95" s="50"/>
      <c r="K95" s="105" t="b">
        <v>0</v>
      </c>
    </row>
    <row r="96">
      <c r="A96" s="126"/>
      <c r="B96" s="10"/>
      <c r="C96" s="12"/>
      <c r="D96" s="81"/>
      <c r="E96" s="50"/>
      <c r="F96" s="50"/>
      <c r="G96" s="50"/>
      <c r="H96" s="50"/>
      <c r="I96" s="50"/>
      <c r="J96" s="50"/>
      <c r="K96" s="105" t="b">
        <v>0</v>
      </c>
    </row>
    <row r="97">
      <c r="A97" s="126"/>
      <c r="B97" s="10"/>
      <c r="C97" s="12"/>
      <c r="D97" s="81"/>
      <c r="E97" s="50"/>
      <c r="F97" s="50"/>
      <c r="G97" s="50"/>
      <c r="H97" s="50"/>
      <c r="I97" s="50"/>
      <c r="J97" s="50"/>
      <c r="K97" s="105" t="b">
        <v>0</v>
      </c>
    </row>
    <row r="98">
      <c r="A98" s="126"/>
      <c r="B98" s="10"/>
      <c r="C98" s="12"/>
      <c r="D98" s="81"/>
      <c r="E98" s="50"/>
      <c r="F98" s="50"/>
      <c r="G98" s="50"/>
      <c r="H98" s="50"/>
      <c r="I98" s="50"/>
      <c r="J98" s="50"/>
      <c r="K98" s="105" t="b">
        <v>0</v>
      </c>
    </row>
    <row r="99">
      <c r="A99" s="126"/>
      <c r="B99" s="10"/>
      <c r="C99" s="12"/>
      <c r="D99" s="81"/>
      <c r="E99" s="50"/>
      <c r="F99" s="50"/>
      <c r="G99" s="50"/>
      <c r="H99" s="50"/>
      <c r="I99" s="50"/>
      <c r="J99" s="50"/>
      <c r="K99" s="105" t="b">
        <v>0</v>
      </c>
    </row>
    <row r="100">
      <c r="A100" s="126"/>
      <c r="B100" s="10"/>
      <c r="C100" s="12"/>
      <c r="D100" s="81"/>
      <c r="E100" s="50"/>
      <c r="F100" s="50"/>
      <c r="G100" s="50"/>
      <c r="H100" s="50"/>
      <c r="I100" s="50"/>
      <c r="J100" s="50"/>
      <c r="K100" s="105" t="b">
        <v>0</v>
      </c>
    </row>
    <row r="101">
      <c r="A101" s="126"/>
      <c r="B101" s="10"/>
      <c r="C101" s="12"/>
      <c r="D101" s="81"/>
      <c r="E101" s="50"/>
      <c r="F101" s="50"/>
      <c r="G101" s="50"/>
      <c r="H101" s="50"/>
      <c r="I101" s="50"/>
      <c r="J101" s="50"/>
      <c r="K101" s="105" t="b">
        <v>0</v>
      </c>
    </row>
    <row r="102">
      <c r="A102" s="126"/>
      <c r="B102" s="10"/>
      <c r="C102" s="12"/>
      <c r="D102" s="81"/>
      <c r="E102" s="50"/>
      <c r="F102" s="50"/>
      <c r="G102" s="50"/>
      <c r="H102" s="50"/>
      <c r="I102" s="50"/>
      <c r="J102" s="50"/>
      <c r="K102" s="105" t="b">
        <v>0</v>
      </c>
    </row>
    <row r="103">
      <c r="A103" s="126"/>
      <c r="B103" s="10"/>
      <c r="C103" s="12"/>
      <c r="D103" s="81"/>
      <c r="E103" s="50"/>
      <c r="F103" s="50"/>
      <c r="G103" s="50"/>
      <c r="H103" s="50"/>
      <c r="I103" s="50"/>
      <c r="J103" s="50"/>
      <c r="K103" s="105" t="b">
        <v>0</v>
      </c>
    </row>
    <row r="104">
      <c r="A104" s="126"/>
      <c r="B104" s="10"/>
      <c r="C104" s="12"/>
      <c r="D104" s="81"/>
      <c r="E104" s="50"/>
      <c r="F104" s="50"/>
      <c r="G104" s="50"/>
      <c r="H104" s="50"/>
      <c r="I104" s="50"/>
      <c r="J104" s="50"/>
      <c r="K104" s="105" t="b">
        <v>0</v>
      </c>
    </row>
    <row r="105">
      <c r="A105" s="126"/>
      <c r="B105" s="10"/>
      <c r="C105" s="12"/>
      <c r="D105" s="81"/>
      <c r="E105" s="50"/>
      <c r="F105" s="50"/>
      <c r="G105" s="50"/>
      <c r="H105" s="50"/>
      <c r="I105" s="50"/>
      <c r="J105" s="50"/>
      <c r="K105" s="105" t="b">
        <v>0</v>
      </c>
    </row>
    <row r="106">
      <c r="A106" s="126"/>
      <c r="B106" s="10"/>
      <c r="C106" s="12"/>
      <c r="D106" s="81"/>
      <c r="E106" s="50"/>
      <c r="F106" s="50"/>
      <c r="G106" s="50"/>
      <c r="H106" s="50"/>
      <c r="I106" s="50"/>
      <c r="J106" s="50"/>
      <c r="K106" s="105" t="b">
        <v>0</v>
      </c>
    </row>
    <row r="107">
      <c r="A107" s="126"/>
      <c r="B107" s="10"/>
      <c r="C107" s="12"/>
      <c r="D107" s="81"/>
      <c r="E107" s="50"/>
      <c r="F107" s="50"/>
      <c r="G107" s="50"/>
      <c r="H107" s="50"/>
      <c r="I107" s="50"/>
      <c r="J107" s="50"/>
      <c r="K107" s="105" t="b">
        <v>0</v>
      </c>
    </row>
    <row r="108">
      <c r="A108" s="126"/>
      <c r="B108" s="10"/>
      <c r="C108" s="12"/>
      <c r="D108" s="81"/>
      <c r="E108" s="50"/>
      <c r="F108" s="50"/>
      <c r="G108" s="50"/>
      <c r="H108" s="50"/>
      <c r="I108" s="50"/>
      <c r="J108" s="50"/>
      <c r="K108" s="105" t="b">
        <v>0</v>
      </c>
    </row>
    <row r="109">
      <c r="A109" s="126"/>
      <c r="B109" s="10"/>
      <c r="C109" s="12"/>
      <c r="D109" s="81"/>
      <c r="E109" s="50"/>
      <c r="F109" s="50"/>
      <c r="G109" s="50"/>
      <c r="H109" s="50"/>
      <c r="I109" s="50"/>
      <c r="J109" s="50"/>
      <c r="K109" s="105" t="b">
        <v>0</v>
      </c>
    </row>
    <row r="110">
      <c r="A110" s="126"/>
      <c r="B110" s="10"/>
      <c r="C110" s="12"/>
      <c r="D110" s="81"/>
      <c r="E110" s="50"/>
      <c r="F110" s="50"/>
      <c r="G110" s="50"/>
      <c r="H110" s="50"/>
      <c r="I110" s="50"/>
      <c r="J110" s="50"/>
      <c r="K110" s="105" t="b">
        <v>0</v>
      </c>
    </row>
    <row r="111">
      <c r="A111" s="126"/>
      <c r="B111" s="10"/>
      <c r="C111" s="12"/>
      <c r="D111" s="81"/>
      <c r="E111" s="50"/>
      <c r="F111" s="50"/>
      <c r="G111" s="50"/>
      <c r="H111" s="50"/>
      <c r="I111" s="50"/>
      <c r="J111" s="50"/>
      <c r="K111" s="105" t="b">
        <v>0</v>
      </c>
    </row>
    <row r="112">
      <c r="A112" s="126"/>
      <c r="B112" s="10"/>
      <c r="C112" s="12"/>
      <c r="D112" s="81"/>
      <c r="E112" s="50"/>
      <c r="F112" s="50"/>
      <c r="G112" s="50"/>
      <c r="H112" s="50"/>
      <c r="I112" s="50"/>
      <c r="J112" s="50"/>
      <c r="K112" s="105" t="b">
        <v>0</v>
      </c>
    </row>
    <row r="113">
      <c r="A113" s="126"/>
      <c r="B113" s="10"/>
      <c r="C113" s="12"/>
      <c r="D113" s="81"/>
      <c r="E113" s="50"/>
      <c r="F113" s="50"/>
      <c r="G113" s="50"/>
      <c r="H113" s="50"/>
      <c r="I113" s="50"/>
      <c r="J113" s="50"/>
      <c r="K113" s="105" t="b">
        <v>0</v>
      </c>
    </row>
    <row r="114">
      <c r="A114" s="126"/>
      <c r="B114" s="10"/>
      <c r="C114" s="12"/>
      <c r="D114" s="81"/>
      <c r="E114" s="50"/>
      <c r="F114" s="50"/>
      <c r="G114" s="50"/>
      <c r="H114" s="50"/>
      <c r="I114" s="50"/>
      <c r="J114" s="50"/>
      <c r="K114" s="105" t="b">
        <v>0</v>
      </c>
    </row>
    <row r="115">
      <c r="A115" s="126"/>
      <c r="B115" s="10"/>
      <c r="C115" s="12"/>
      <c r="D115" s="81"/>
      <c r="E115" s="50"/>
      <c r="F115" s="50"/>
      <c r="G115" s="50"/>
      <c r="H115" s="50"/>
      <c r="I115" s="50"/>
      <c r="J115" s="50"/>
      <c r="K115" s="105" t="b">
        <v>0</v>
      </c>
    </row>
    <row r="116">
      <c r="A116" s="126"/>
      <c r="B116" s="10"/>
      <c r="C116" s="12"/>
      <c r="D116" s="81"/>
      <c r="E116" s="50"/>
      <c r="F116" s="50"/>
      <c r="G116" s="50"/>
      <c r="H116" s="50"/>
      <c r="I116" s="50"/>
      <c r="J116" s="50"/>
      <c r="K116" s="105" t="b">
        <v>0</v>
      </c>
    </row>
    <row r="117">
      <c r="A117" s="126"/>
      <c r="B117" s="10"/>
      <c r="C117" s="12"/>
      <c r="D117" s="81"/>
      <c r="E117" s="50"/>
      <c r="F117" s="50"/>
      <c r="G117" s="50"/>
      <c r="H117" s="50"/>
      <c r="I117" s="50"/>
      <c r="J117" s="50"/>
      <c r="K117" s="105" t="b">
        <v>0</v>
      </c>
    </row>
    <row r="118">
      <c r="A118" s="126"/>
      <c r="B118" s="10"/>
      <c r="C118" s="12"/>
      <c r="D118" s="81"/>
      <c r="E118" s="50"/>
      <c r="F118" s="50"/>
      <c r="G118" s="50"/>
      <c r="H118" s="50"/>
      <c r="I118" s="50"/>
      <c r="J118" s="50"/>
      <c r="K118" s="105" t="b">
        <v>0</v>
      </c>
    </row>
    <row r="119">
      <c r="A119" s="126"/>
      <c r="B119" s="10"/>
      <c r="C119" s="12"/>
      <c r="D119" s="81"/>
      <c r="E119" s="50"/>
      <c r="F119" s="50"/>
      <c r="G119" s="50"/>
      <c r="H119" s="50"/>
      <c r="I119" s="50"/>
      <c r="J119" s="50"/>
      <c r="K119" s="105" t="b">
        <v>0</v>
      </c>
    </row>
    <row r="120">
      <c r="A120" s="126"/>
      <c r="B120" s="10"/>
      <c r="C120" s="12"/>
      <c r="D120" s="81"/>
      <c r="E120" s="50"/>
      <c r="F120" s="50"/>
      <c r="G120" s="50"/>
      <c r="H120" s="50"/>
      <c r="I120" s="50"/>
      <c r="J120" s="50"/>
      <c r="K120" s="105" t="b">
        <v>0</v>
      </c>
    </row>
    <row r="121">
      <c r="A121" s="126"/>
      <c r="B121" s="10"/>
      <c r="C121" s="12"/>
      <c r="D121" s="81"/>
      <c r="E121" s="50"/>
      <c r="F121" s="50"/>
      <c r="G121" s="50"/>
      <c r="H121" s="50"/>
      <c r="I121" s="50"/>
      <c r="J121" s="50"/>
      <c r="K121" s="105" t="b">
        <v>0</v>
      </c>
    </row>
    <row r="122">
      <c r="A122" s="126"/>
      <c r="B122" s="10"/>
      <c r="C122" s="12"/>
      <c r="D122" s="81"/>
      <c r="E122" s="50"/>
      <c r="F122" s="50"/>
      <c r="G122" s="50"/>
      <c r="H122" s="50"/>
      <c r="I122" s="50"/>
      <c r="J122" s="50"/>
      <c r="K122" s="105" t="b">
        <v>0</v>
      </c>
    </row>
    <row r="123">
      <c r="A123" s="126"/>
      <c r="B123" s="10"/>
      <c r="C123" s="12"/>
      <c r="D123" s="81"/>
      <c r="E123" s="50"/>
      <c r="F123" s="50"/>
      <c r="G123" s="50"/>
      <c r="H123" s="50"/>
      <c r="I123" s="50"/>
      <c r="J123" s="50"/>
      <c r="K123" s="105" t="b">
        <v>0</v>
      </c>
    </row>
    <row r="124">
      <c r="A124" s="126"/>
      <c r="B124" s="10"/>
      <c r="C124" s="12"/>
      <c r="D124" s="81"/>
      <c r="E124" s="50"/>
      <c r="F124" s="50"/>
      <c r="G124" s="50"/>
      <c r="H124" s="50"/>
      <c r="I124" s="50"/>
      <c r="J124" s="50"/>
      <c r="K124" s="105" t="b">
        <v>0</v>
      </c>
    </row>
    <row r="125">
      <c r="A125" s="126"/>
      <c r="B125" s="10"/>
      <c r="C125" s="12"/>
      <c r="D125" s="81"/>
      <c r="E125" s="50"/>
      <c r="F125" s="50"/>
      <c r="G125" s="50"/>
      <c r="H125" s="50"/>
      <c r="I125" s="50"/>
      <c r="J125" s="50"/>
      <c r="K125" s="105" t="b">
        <v>0</v>
      </c>
    </row>
    <row r="126">
      <c r="A126" s="126"/>
      <c r="B126" s="10"/>
      <c r="C126" s="12"/>
      <c r="D126" s="81"/>
      <c r="E126" s="50"/>
      <c r="F126" s="50"/>
      <c r="G126" s="50"/>
      <c r="H126" s="50"/>
      <c r="I126" s="50"/>
      <c r="J126" s="50"/>
      <c r="K126" s="105" t="b">
        <v>0</v>
      </c>
    </row>
    <row r="127">
      <c r="A127" s="126"/>
      <c r="B127" s="10"/>
      <c r="C127" s="12"/>
      <c r="D127" s="81"/>
      <c r="E127" s="50"/>
      <c r="F127" s="50"/>
      <c r="G127" s="50"/>
      <c r="H127" s="50"/>
      <c r="I127" s="50"/>
      <c r="J127" s="50"/>
      <c r="K127" s="105" t="b">
        <v>0</v>
      </c>
    </row>
    <row r="128">
      <c r="A128" s="126"/>
      <c r="B128" s="10"/>
      <c r="C128" s="12"/>
      <c r="D128" s="81"/>
      <c r="E128" s="50"/>
      <c r="F128" s="50"/>
      <c r="G128" s="50"/>
      <c r="H128" s="50"/>
      <c r="I128" s="50"/>
      <c r="J128" s="50"/>
      <c r="K128" s="105" t="b">
        <v>0</v>
      </c>
    </row>
    <row r="129">
      <c r="A129" s="126"/>
      <c r="B129" s="10"/>
      <c r="C129" s="12"/>
      <c r="D129" s="81"/>
      <c r="E129" s="50"/>
      <c r="F129" s="50"/>
      <c r="G129" s="50"/>
      <c r="H129" s="50"/>
      <c r="I129" s="50"/>
      <c r="J129" s="50"/>
      <c r="K129" s="105" t="b">
        <v>0</v>
      </c>
    </row>
    <row r="130">
      <c r="A130" s="126"/>
      <c r="B130" s="10"/>
      <c r="C130" s="12"/>
      <c r="D130" s="81"/>
      <c r="E130" s="50"/>
      <c r="F130" s="50"/>
      <c r="G130" s="50"/>
      <c r="H130" s="50"/>
      <c r="I130" s="50"/>
      <c r="J130" s="50"/>
      <c r="K130" s="105" t="b">
        <v>0</v>
      </c>
    </row>
    <row r="131">
      <c r="A131" s="126"/>
      <c r="B131" s="10"/>
      <c r="C131" s="12"/>
      <c r="D131" s="81"/>
      <c r="E131" s="50"/>
      <c r="F131" s="50"/>
      <c r="G131" s="50"/>
      <c r="H131" s="50"/>
      <c r="I131" s="50"/>
      <c r="J131" s="50"/>
      <c r="K131" s="105" t="b">
        <v>0</v>
      </c>
    </row>
    <row r="132">
      <c r="A132" s="126"/>
      <c r="B132" s="10"/>
      <c r="C132" s="12"/>
      <c r="D132" s="81"/>
      <c r="E132" s="50"/>
      <c r="F132" s="50"/>
      <c r="G132" s="50"/>
      <c r="H132" s="50"/>
      <c r="I132" s="50"/>
      <c r="J132" s="50"/>
      <c r="K132" s="105" t="b">
        <v>0</v>
      </c>
    </row>
    <row r="133">
      <c r="A133" s="126"/>
      <c r="B133" s="10"/>
      <c r="C133" s="12"/>
      <c r="D133" s="81"/>
      <c r="E133" s="50"/>
      <c r="F133" s="50"/>
      <c r="G133" s="50"/>
      <c r="H133" s="50"/>
      <c r="I133" s="50"/>
      <c r="J133" s="50"/>
      <c r="K133" s="105" t="b">
        <v>0</v>
      </c>
    </row>
    <row r="134">
      <c r="A134" s="126"/>
      <c r="B134" s="10"/>
      <c r="C134" s="12"/>
      <c r="D134" s="81"/>
      <c r="E134" s="50"/>
      <c r="F134" s="50"/>
      <c r="G134" s="50"/>
      <c r="H134" s="50"/>
      <c r="I134" s="50"/>
      <c r="J134" s="50"/>
      <c r="K134" s="105" t="b">
        <v>0</v>
      </c>
    </row>
    <row r="135">
      <c r="A135" s="126"/>
      <c r="B135" s="10"/>
      <c r="C135" s="12"/>
      <c r="D135" s="81"/>
      <c r="E135" s="50"/>
      <c r="F135" s="50"/>
      <c r="G135" s="50"/>
      <c r="H135" s="50"/>
      <c r="I135" s="50"/>
      <c r="J135" s="50"/>
      <c r="K135" s="105" t="b">
        <v>0</v>
      </c>
    </row>
    <row r="136">
      <c r="A136" s="126"/>
      <c r="B136" s="10"/>
      <c r="C136" s="12"/>
      <c r="D136" s="81"/>
      <c r="E136" s="50"/>
      <c r="F136" s="50"/>
      <c r="G136" s="50"/>
      <c r="H136" s="50"/>
      <c r="I136" s="50"/>
      <c r="J136" s="50"/>
      <c r="K136" s="105" t="b">
        <v>0</v>
      </c>
    </row>
    <row r="137">
      <c r="A137" s="126"/>
      <c r="B137" s="10"/>
      <c r="C137" s="12"/>
      <c r="D137" s="81"/>
      <c r="E137" s="50"/>
      <c r="F137" s="50"/>
      <c r="G137" s="50"/>
      <c r="H137" s="50"/>
      <c r="I137" s="50"/>
      <c r="J137" s="50"/>
      <c r="K137" s="105" t="b">
        <v>0</v>
      </c>
    </row>
    <row r="138">
      <c r="A138" s="126"/>
      <c r="B138" s="10"/>
      <c r="C138" s="12"/>
      <c r="D138" s="81"/>
      <c r="E138" s="50"/>
      <c r="F138" s="50"/>
      <c r="G138" s="50"/>
      <c r="H138" s="50"/>
      <c r="I138" s="50"/>
      <c r="J138" s="50"/>
      <c r="K138" s="105" t="b">
        <v>0</v>
      </c>
    </row>
    <row r="139">
      <c r="A139" s="126"/>
      <c r="B139" s="10"/>
      <c r="C139" s="12"/>
      <c r="D139" s="81"/>
      <c r="E139" s="50"/>
      <c r="F139" s="50"/>
      <c r="G139" s="50"/>
      <c r="H139" s="50"/>
      <c r="I139" s="50"/>
      <c r="J139" s="50"/>
      <c r="K139" s="105" t="b">
        <v>0</v>
      </c>
    </row>
    <row r="140">
      <c r="A140" s="126"/>
      <c r="B140" s="10"/>
      <c r="C140" s="12"/>
      <c r="D140" s="81"/>
      <c r="E140" s="50"/>
      <c r="F140" s="50"/>
      <c r="G140" s="50"/>
      <c r="H140" s="50"/>
      <c r="I140" s="50"/>
      <c r="J140" s="50"/>
      <c r="K140" s="105" t="b">
        <v>0</v>
      </c>
    </row>
    <row r="141">
      <c r="A141" s="126"/>
      <c r="B141" s="10"/>
      <c r="C141" s="12"/>
      <c r="D141" s="81"/>
      <c r="E141" s="50"/>
      <c r="F141" s="50"/>
      <c r="G141" s="50"/>
      <c r="H141" s="50"/>
      <c r="I141" s="50"/>
      <c r="J141" s="50"/>
      <c r="K141" s="105" t="b">
        <v>0</v>
      </c>
    </row>
    <row r="142">
      <c r="A142" s="126"/>
      <c r="B142" s="10"/>
      <c r="C142" s="12"/>
      <c r="D142" s="81"/>
      <c r="E142" s="50"/>
      <c r="F142" s="50"/>
      <c r="G142" s="50"/>
      <c r="H142" s="50"/>
      <c r="I142" s="50"/>
      <c r="J142" s="50"/>
      <c r="K142" s="105" t="b">
        <v>0</v>
      </c>
    </row>
    <row r="143">
      <c r="A143" s="126"/>
      <c r="B143" s="10"/>
      <c r="C143" s="12"/>
      <c r="D143" s="81"/>
      <c r="E143" s="50"/>
      <c r="F143" s="50"/>
      <c r="G143" s="50"/>
      <c r="H143" s="50"/>
      <c r="I143" s="50"/>
      <c r="J143" s="50"/>
      <c r="K143" s="105" t="b">
        <v>0</v>
      </c>
    </row>
    <row r="144">
      <c r="A144" s="126"/>
      <c r="B144" s="10"/>
      <c r="C144" s="12"/>
      <c r="D144" s="81"/>
      <c r="E144" s="50"/>
      <c r="F144" s="50"/>
      <c r="G144" s="50"/>
      <c r="H144" s="50"/>
      <c r="I144" s="50"/>
      <c r="J144" s="50"/>
      <c r="K144" s="105" t="b">
        <v>0</v>
      </c>
    </row>
    <row r="145">
      <c r="A145" s="126"/>
      <c r="B145" s="10"/>
      <c r="C145" s="12"/>
      <c r="D145" s="81"/>
      <c r="E145" s="50"/>
      <c r="F145" s="50"/>
      <c r="G145" s="50"/>
      <c r="H145" s="50"/>
      <c r="I145" s="50"/>
      <c r="J145" s="50"/>
      <c r="K145" s="105" t="b">
        <v>0</v>
      </c>
    </row>
    <row r="146">
      <c r="A146" s="126"/>
      <c r="B146" s="10"/>
      <c r="C146" s="12"/>
      <c r="D146" s="81"/>
      <c r="E146" s="50"/>
      <c r="F146" s="50"/>
      <c r="G146" s="50"/>
      <c r="H146" s="50"/>
      <c r="I146" s="50"/>
      <c r="J146" s="50"/>
      <c r="K146" s="105" t="b">
        <v>0</v>
      </c>
    </row>
    <row r="147">
      <c r="A147" s="126"/>
      <c r="B147" s="10"/>
      <c r="C147" s="12"/>
      <c r="D147" s="81"/>
      <c r="E147" s="50"/>
      <c r="F147" s="50"/>
      <c r="G147" s="50"/>
      <c r="H147" s="50"/>
      <c r="I147" s="50"/>
      <c r="J147" s="50"/>
      <c r="K147" s="105" t="b">
        <v>0</v>
      </c>
    </row>
    <row r="148">
      <c r="A148" s="126"/>
      <c r="B148" s="10"/>
      <c r="C148" s="12"/>
      <c r="D148" s="81"/>
      <c r="E148" s="50"/>
      <c r="F148" s="50"/>
      <c r="G148" s="50"/>
      <c r="H148" s="50"/>
      <c r="I148" s="50"/>
      <c r="J148" s="50"/>
      <c r="K148" s="105" t="b">
        <v>0</v>
      </c>
    </row>
    <row r="149">
      <c r="A149" s="126"/>
      <c r="B149" s="10"/>
      <c r="C149" s="12"/>
      <c r="D149" s="81"/>
      <c r="E149" s="50"/>
      <c r="F149" s="50"/>
      <c r="G149" s="50"/>
      <c r="H149" s="50"/>
      <c r="I149" s="50"/>
      <c r="J149" s="50"/>
      <c r="K149" s="105" t="b">
        <v>0</v>
      </c>
    </row>
    <row r="150">
      <c r="A150" s="126"/>
      <c r="B150" s="10"/>
      <c r="C150" s="12"/>
      <c r="D150" s="81"/>
      <c r="E150" s="50"/>
      <c r="F150" s="50"/>
      <c r="G150" s="50"/>
      <c r="H150" s="50"/>
      <c r="I150" s="50"/>
      <c r="J150" s="50"/>
      <c r="K150" s="105" t="b">
        <v>0</v>
      </c>
    </row>
    <row r="151">
      <c r="A151" s="126"/>
      <c r="B151" s="10"/>
      <c r="C151" s="12"/>
      <c r="D151" s="81"/>
      <c r="E151" s="50"/>
      <c r="F151" s="50"/>
      <c r="G151" s="50"/>
      <c r="H151" s="50"/>
      <c r="I151" s="50"/>
      <c r="J151" s="50"/>
      <c r="K151" s="105" t="b">
        <v>0</v>
      </c>
    </row>
    <row r="152">
      <c r="A152" s="126"/>
      <c r="B152" s="10"/>
      <c r="C152" s="12"/>
      <c r="D152" s="81"/>
      <c r="E152" s="50"/>
      <c r="F152" s="50"/>
      <c r="G152" s="50"/>
      <c r="H152" s="50"/>
      <c r="I152" s="50"/>
      <c r="J152" s="50"/>
      <c r="K152" s="105" t="b">
        <v>0</v>
      </c>
    </row>
    <row r="153">
      <c r="A153" s="126"/>
      <c r="B153" s="10"/>
      <c r="C153" s="12"/>
      <c r="D153" s="81"/>
      <c r="E153" s="50"/>
      <c r="F153" s="50"/>
      <c r="G153" s="50"/>
      <c r="H153" s="50"/>
      <c r="I153" s="50"/>
      <c r="J153" s="50"/>
      <c r="K153" s="105" t="b">
        <v>0</v>
      </c>
    </row>
    <row r="154">
      <c r="A154" s="126"/>
      <c r="B154" s="10"/>
      <c r="C154" s="12"/>
      <c r="D154" s="81"/>
      <c r="E154" s="50"/>
      <c r="F154" s="50"/>
      <c r="G154" s="50"/>
      <c r="H154" s="50"/>
      <c r="I154" s="50"/>
      <c r="J154" s="50"/>
      <c r="K154" s="105" t="b">
        <v>0</v>
      </c>
    </row>
    <row r="155">
      <c r="A155" s="126"/>
      <c r="B155" s="10"/>
      <c r="C155" s="12"/>
      <c r="D155" s="81"/>
      <c r="E155" s="50"/>
      <c r="F155" s="50"/>
      <c r="G155" s="50"/>
      <c r="H155" s="50"/>
      <c r="I155" s="50"/>
      <c r="J155" s="50"/>
      <c r="K155" s="105" t="b">
        <v>0</v>
      </c>
    </row>
    <row r="156">
      <c r="A156" s="126"/>
      <c r="B156" s="10"/>
      <c r="C156" s="12"/>
      <c r="D156" s="81"/>
      <c r="E156" s="50"/>
      <c r="F156" s="50"/>
      <c r="G156" s="50"/>
      <c r="H156" s="50"/>
      <c r="I156" s="50"/>
      <c r="J156" s="50"/>
      <c r="K156" s="105" t="b">
        <v>0</v>
      </c>
    </row>
    <row r="157">
      <c r="A157" s="126"/>
      <c r="B157" s="10"/>
      <c r="C157" s="12"/>
      <c r="D157" s="81"/>
      <c r="E157" s="50"/>
      <c r="F157" s="50"/>
      <c r="G157" s="50"/>
      <c r="H157" s="50"/>
      <c r="I157" s="50"/>
      <c r="J157" s="50"/>
      <c r="K157" s="105" t="b">
        <v>0</v>
      </c>
    </row>
    <row r="158">
      <c r="A158" s="126"/>
      <c r="B158" s="10"/>
      <c r="C158" s="12"/>
      <c r="D158" s="81"/>
      <c r="E158" s="50"/>
      <c r="F158" s="50"/>
      <c r="G158" s="50"/>
      <c r="H158" s="50"/>
      <c r="I158" s="50"/>
      <c r="J158" s="50"/>
      <c r="K158" s="105" t="b">
        <v>0</v>
      </c>
    </row>
    <row r="159">
      <c r="A159" s="126"/>
      <c r="B159" s="10"/>
      <c r="C159" s="12"/>
      <c r="D159" s="81"/>
      <c r="E159" s="50"/>
      <c r="F159" s="50"/>
      <c r="G159" s="50"/>
      <c r="H159" s="50"/>
      <c r="I159" s="50"/>
      <c r="J159" s="50"/>
      <c r="K159" s="105" t="b">
        <v>0</v>
      </c>
    </row>
    <row r="160">
      <c r="A160" s="126"/>
      <c r="B160" s="10"/>
      <c r="C160" s="12"/>
      <c r="D160" s="81"/>
      <c r="E160" s="50"/>
      <c r="F160" s="50"/>
      <c r="G160" s="50"/>
      <c r="H160" s="50"/>
      <c r="I160" s="50"/>
      <c r="J160" s="50"/>
      <c r="K160" s="105" t="b">
        <v>0</v>
      </c>
    </row>
    <row r="161">
      <c r="A161" s="126"/>
      <c r="B161" s="10"/>
      <c r="C161" s="12"/>
      <c r="D161" s="81"/>
      <c r="E161" s="50"/>
      <c r="F161" s="50"/>
      <c r="G161" s="50"/>
      <c r="H161" s="50"/>
      <c r="I161" s="50"/>
      <c r="J161" s="50"/>
      <c r="K161" s="105" t="b">
        <v>0</v>
      </c>
    </row>
    <row r="162">
      <c r="A162" s="126"/>
      <c r="B162" s="10"/>
      <c r="C162" s="12"/>
      <c r="D162" s="81"/>
      <c r="E162" s="50"/>
      <c r="F162" s="50"/>
      <c r="G162" s="50"/>
      <c r="H162" s="50"/>
      <c r="I162" s="50"/>
      <c r="J162" s="50"/>
      <c r="K162" s="105" t="b">
        <v>0</v>
      </c>
    </row>
    <row r="163">
      <c r="A163" s="126"/>
      <c r="B163" s="10"/>
      <c r="C163" s="12"/>
      <c r="D163" s="81"/>
      <c r="E163" s="50"/>
      <c r="F163" s="50"/>
      <c r="G163" s="50"/>
      <c r="H163" s="50"/>
      <c r="I163" s="50"/>
      <c r="J163" s="50"/>
      <c r="K163" s="105" t="b">
        <v>0</v>
      </c>
    </row>
    <row r="164">
      <c r="A164" s="126"/>
      <c r="B164" s="10"/>
      <c r="C164" s="12"/>
      <c r="D164" s="81"/>
      <c r="E164" s="50"/>
      <c r="F164" s="50"/>
      <c r="G164" s="50"/>
      <c r="H164" s="50"/>
      <c r="I164" s="50"/>
      <c r="J164" s="50"/>
      <c r="K164" s="105" t="b">
        <v>0</v>
      </c>
    </row>
    <row r="165">
      <c r="A165" s="126"/>
      <c r="B165" s="10"/>
      <c r="C165" s="12"/>
      <c r="D165" s="81"/>
      <c r="E165" s="50"/>
      <c r="F165" s="50"/>
      <c r="G165" s="50"/>
      <c r="H165" s="50"/>
      <c r="I165" s="50"/>
      <c r="J165" s="50"/>
      <c r="K165" s="105" t="b">
        <v>0</v>
      </c>
    </row>
    <row r="166">
      <c r="A166" s="126"/>
      <c r="B166" s="10"/>
      <c r="C166" s="12"/>
      <c r="D166" s="81"/>
      <c r="E166" s="50"/>
      <c r="F166" s="50"/>
      <c r="G166" s="50"/>
      <c r="H166" s="50"/>
      <c r="I166" s="50"/>
      <c r="J166" s="50"/>
      <c r="K166" s="105" t="b">
        <v>0</v>
      </c>
    </row>
    <row r="167">
      <c r="A167" s="126"/>
      <c r="B167" s="10"/>
      <c r="C167" s="12"/>
      <c r="D167" s="81"/>
      <c r="E167" s="50"/>
      <c r="F167" s="50"/>
      <c r="G167" s="50"/>
      <c r="H167" s="50"/>
      <c r="I167" s="50"/>
      <c r="J167" s="50"/>
      <c r="K167" s="105" t="b">
        <v>0</v>
      </c>
    </row>
    <row r="168">
      <c r="A168" s="126"/>
      <c r="B168" s="10"/>
      <c r="C168" s="12"/>
      <c r="D168" s="81"/>
      <c r="E168" s="50"/>
      <c r="F168" s="50"/>
      <c r="G168" s="50"/>
      <c r="H168" s="50"/>
      <c r="I168" s="50"/>
      <c r="J168" s="50"/>
      <c r="K168" s="105" t="b">
        <v>0</v>
      </c>
    </row>
    <row r="169">
      <c r="A169" s="126"/>
      <c r="B169" s="10"/>
      <c r="C169" s="12"/>
      <c r="D169" s="81"/>
      <c r="E169" s="50"/>
      <c r="F169" s="50"/>
      <c r="G169" s="50"/>
      <c r="H169" s="50"/>
      <c r="I169" s="50"/>
      <c r="J169" s="50"/>
      <c r="K169" s="105" t="b">
        <v>0</v>
      </c>
    </row>
    <row r="170">
      <c r="A170" s="126"/>
      <c r="B170" s="10"/>
      <c r="C170" s="12"/>
      <c r="D170" s="81"/>
      <c r="E170" s="50"/>
      <c r="F170" s="50"/>
      <c r="G170" s="50"/>
      <c r="H170" s="50"/>
      <c r="I170" s="50"/>
      <c r="J170" s="50"/>
      <c r="K170" s="105" t="b">
        <v>0</v>
      </c>
    </row>
    <row r="171">
      <c r="A171" s="126"/>
      <c r="B171" s="10"/>
      <c r="C171" s="12"/>
      <c r="D171" s="81"/>
      <c r="E171" s="50"/>
      <c r="F171" s="50"/>
      <c r="G171" s="50"/>
      <c r="H171" s="50"/>
      <c r="I171" s="50"/>
      <c r="J171" s="50"/>
      <c r="K171" s="105" t="b">
        <v>0</v>
      </c>
    </row>
    <row r="172">
      <c r="A172" s="126"/>
      <c r="B172" s="10"/>
      <c r="C172" s="12"/>
      <c r="D172" s="81"/>
      <c r="E172" s="50"/>
      <c r="F172" s="50"/>
      <c r="G172" s="50"/>
      <c r="H172" s="50"/>
      <c r="I172" s="50"/>
      <c r="J172" s="50"/>
      <c r="K172" s="105" t="b">
        <v>0</v>
      </c>
    </row>
    <row r="173">
      <c r="A173" s="126"/>
      <c r="B173" s="10"/>
      <c r="C173" s="12"/>
      <c r="D173" s="81"/>
      <c r="E173" s="50"/>
      <c r="F173" s="50"/>
      <c r="G173" s="50"/>
      <c r="H173" s="50"/>
      <c r="I173" s="50"/>
      <c r="J173" s="50"/>
      <c r="K173" s="105" t="b">
        <v>0</v>
      </c>
    </row>
    <row r="174">
      <c r="A174" s="126"/>
      <c r="B174" s="10"/>
      <c r="C174" s="12"/>
      <c r="D174" s="81"/>
      <c r="E174" s="50"/>
      <c r="F174" s="50"/>
      <c r="G174" s="50"/>
      <c r="H174" s="50"/>
      <c r="I174" s="50"/>
      <c r="J174" s="50"/>
      <c r="K174" s="105" t="b">
        <v>0</v>
      </c>
    </row>
    <row r="175">
      <c r="A175" s="126"/>
      <c r="B175" s="10"/>
      <c r="C175" s="12"/>
      <c r="D175" s="81"/>
      <c r="E175" s="50"/>
      <c r="F175" s="50"/>
      <c r="G175" s="50"/>
      <c r="H175" s="50"/>
      <c r="I175" s="50"/>
      <c r="J175" s="50"/>
      <c r="K175" s="105" t="b">
        <v>0</v>
      </c>
    </row>
    <row r="176">
      <c r="A176" s="126"/>
      <c r="B176" s="10"/>
      <c r="C176" s="12"/>
      <c r="D176" s="81"/>
      <c r="E176" s="50"/>
      <c r="F176" s="50"/>
      <c r="G176" s="50"/>
      <c r="H176" s="50"/>
      <c r="I176" s="50"/>
      <c r="J176" s="50"/>
      <c r="K176" s="105" t="b">
        <v>0</v>
      </c>
    </row>
    <row r="177">
      <c r="A177" s="126"/>
      <c r="B177" s="10"/>
      <c r="C177" s="12"/>
      <c r="D177" s="81"/>
      <c r="E177" s="50"/>
      <c r="F177" s="50"/>
      <c r="G177" s="50"/>
      <c r="H177" s="50"/>
      <c r="I177" s="50"/>
      <c r="J177" s="50"/>
      <c r="K177" s="105" t="b">
        <v>0</v>
      </c>
    </row>
    <row r="178">
      <c r="A178" s="126"/>
      <c r="B178" s="10"/>
      <c r="C178" s="12"/>
      <c r="D178" s="81"/>
      <c r="E178" s="50"/>
      <c r="F178" s="50"/>
      <c r="G178" s="50"/>
      <c r="H178" s="50"/>
      <c r="I178" s="50"/>
      <c r="J178" s="50"/>
      <c r="K178" s="105" t="b">
        <v>0</v>
      </c>
    </row>
    <row r="179">
      <c r="A179" s="126"/>
      <c r="B179" s="10"/>
      <c r="C179" s="12"/>
      <c r="D179" s="81"/>
      <c r="E179" s="50"/>
      <c r="F179" s="50"/>
      <c r="G179" s="50"/>
      <c r="H179" s="50"/>
      <c r="I179" s="50"/>
      <c r="J179" s="50"/>
      <c r="K179" s="105" t="b">
        <v>0</v>
      </c>
    </row>
    <row r="180">
      <c r="A180" s="126"/>
      <c r="B180" s="10"/>
      <c r="C180" s="12"/>
      <c r="D180" s="81"/>
      <c r="E180" s="50"/>
      <c r="F180" s="50"/>
      <c r="G180" s="50"/>
      <c r="H180" s="50"/>
      <c r="I180" s="50"/>
      <c r="J180" s="50"/>
      <c r="K180" s="105" t="b">
        <v>0</v>
      </c>
    </row>
    <row r="181">
      <c r="A181" s="126"/>
      <c r="B181" s="10"/>
      <c r="C181" s="12"/>
      <c r="D181" s="81"/>
      <c r="E181" s="50"/>
      <c r="F181" s="50"/>
      <c r="G181" s="50"/>
      <c r="H181" s="50"/>
      <c r="I181" s="50"/>
      <c r="J181" s="50"/>
      <c r="K181" s="105" t="b">
        <v>0</v>
      </c>
    </row>
    <row r="182">
      <c r="A182" s="126"/>
      <c r="B182" s="10"/>
      <c r="C182" s="12"/>
      <c r="D182" s="81"/>
      <c r="E182" s="50"/>
      <c r="F182" s="50"/>
      <c r="G182" s="50"/>
      <c r="H182" s="50"/>
      <c r="I182" s="50"/>
      <c r="J182" s="50"/>
      <c r="K182" s="105" t="b">
        <v>0</v>
      </c>
    </row>
    <row r="183">
      <c r="A183" s="126"/>
      <c r="B183" s="10"/>
      <c r="C183" s="12"/>
      <c r="D183" s="81"/>
      <c r="E183" s="50"/>
      <c r="F183" s="50"/>
      <c r="G183" s="50"/>
      <c r="H183" s="50"/>
      <c r="I183" s="50"/>
      <c r="J183" s="50"/>
      <c r="K183" s="105" t="b">
        <v>0</v>
      </c>
    </row>
    <row r="184">
      <c r="A184" s="126"/>
      <c r="B184" s="10"/>
      <c r="C184" s="12"/>
      <c r="D184" s="81"/>
      <c r="E184" s="50"/>
      <c r="F184" s="50"/>
      <c r="G184" s="50"/>
      <c r="H184" s="50"/>
      <c r="I184" s="50"/>
      <c r="J184" s="50"/>
      <c r="K184" s="105" t="b">
        <v>0</v>
      </c>
    </row>
    <row r="185">
      <c r="A185" s="126"/>
      <c r="B185" s="10"/>
      <c r="C185" s="12"/>
      <c r="D185" s="81"/>
      <c r="E185" s="50"/>
      <c r="F185" s="50"/>
      <c r="G185" s="50"/>
      <c r="H185" s="50"/>
      <c r="I185" s="50"/>
      <c r="J185" s="50"/>
      <c r="K185" s="105" t="b">
        <v>0</v>
      </c>
    </row>
    <row r="186">
      <c r="A186" s="126"/>
      <c r="B186" s="10"/>
      <c r="C186" s="12"/>
      <c r="D186" s="81"/>
      <c r="E186" s="50"/>
      <c r="F186" s="50"/>
      <c r="G186" s="50"/>
      <c r="H186" s="50"/>
      <c r="I186" s="50"/>
      <c r="J186" s="50"/>
      <c r="K186" s="105" t="b">
        <v>0</v>
      </c>
    </row>
    <row r="187">
      <c r="A187" s="126"/>
      <c r="B187" s="10"/>
      <c r="C187" s="12"/>
      <c r="D187" s="81"/>
      <c r="E187" s="50"/>
      <c r="F187" s="50"/>
      <c r="G187" s="50"/>
      <c r="H187" s="50"/>
      <c r="I187" s="50"/>
      <c r="J187" s="50"/>
      <c r="K187" s="105" t="b">
        <v>0</v>
      </c>
    </row>
    <row r="188">
      <c r="A188" s="126"/>
      <c r="B188" s="10"/>
      <c r="C188" s="12"/>
      <c r="D188" s="81"/>
      <c r="E188" s="50"/>
      <c r="F188" s="50"/>
      <c r="G188" s="50"/>
      <c r="H188" s="50"/>
      <c r="I188" s="50"/>
      <c r="J188" s="50"/>
      <c r="K188" s="105" t="b">
        <v>0</v>
      </c>
    </row>
    <row r="189">
      <c r="A189" s="126"/>
      <c r="B189" s="10"/>
      <c r="C189" s="12"/>
      <c r="D189" s="81"/>
      <c r="E189" s="50"/>
      <c r="F189" s="50"/>
      <c r="G189" s="50"/>
      <c r="H189" s="50"/>
      <c r="I189" s="50"/>
      <c r="J189" s="50"/>
      <c r="K189" s="105" t="b">
        <v>0</v>
      </c>
    </row>
    <row r="190">
      <c r="A190" s="126"/>
      <c r="B190" s="10"/>
      <c r="C190" s="12"/>
      <c r="D190" s="81"/>
      <c r="E190" s="50"/>
      <c r="F190" s="50"/>
      <c r="G190" s="50"/>
      <c r="H190" s="50"/>
      <c r="I190" s="50"/>
      <c r="J190" s="50"/>
      <c r="K190" s="105" t="b">
        <v>0</v>
      </c>
    </row>
    <row r="191">
      <c r="A191" s="126"/>
      <c r="B191" s="10"/>
      <c r="C191" s="12"/>
      <c r="D191" s="81"/>
      <c r="E191" s="50"/>
      <c r="F191" s="50"/>
      <c r="G191" s="50"/>
      <c r="H191" s="50"/>
      <c r="I191" s="50"/>
      <c r="J191" s="50"/>
      <c r="K191" s="105" t="b">
        <v>0</v>
      </c>
    </row>
    <row r="192">
      <c r="A192" s="126"/>
      <c r="B192" s="10"/>
      <c r="C192" s="12"/>
      <c r="D192" s="81"/>
      <c r="E192" s="50"/>
      <c r="F192" s="50"/>
      <c r="G192" s="50"/>
      <c r="H192" s="50"/>
      <c r="I192" s="50"/>
      <c r="J192" s="50"/>
      <c r="K192" s="105" t="b">
        <v>0</v>
      </c>
    </row>
    <row r="193">
      <c r="A193" s="126"/>
      <c r="B193" s="10"/>
      <c r="C193" s="12"/>
      <c r="D193" s="81"/>
      <c r="E193" s="50"/>
      <c r="F193" s="50"/>
      <c r="G193" s="50"/>
      <c r="H193" s="50"/>
      <c r="I193" s="50"/>
      <c r="J193" s="50"/>
      <c r="K193" s="105" t="b">
        <v>0</v>
      </c>
    </row>
    <row r="194">
      <c r="A194" s="126"/>
      <c r="B194" s="10"/>
      <c r="C194" s="12"/>
      <c r="D194" s="81"/>
      <c r="E194" s="50"/>
      <c r="F194" s="50"/>
      <c r="G194" s="50"/>
      <c r="H194" s="50"/>
      <c r="I194" s="50"/>
      <c r="J194" s="50"/>
      <c r="K194" s="105" t="b">
        <v>0</v>
      </c>
    </row>
    <row r="195">
      <c r="A195" s="126"/>
      <c r="B195" s="10"/>
      <c r="C195" s="12"/>
      <c r="D195" s="81"/>
      <c r="E195" s="50"/>
      <c r="F195" s="50"/>
      <c r="G195" s="50"/>
      <c r="H195" s="50"/>
      <c r="I195" s="50"/>
      <c r="J195" s="50"/>
      <c r="K195" s="105" t="b">
        <v>0</v>
      </c>
    </row>
    <row r="196">
      <c r="A196" s="126"/>
      <c r="B196" s="10"/>
      <c r="C196" s="12"/>
      <c r="D196" s="81"/>
      <c r="E196" s="50"/>
      <c r="F196" s="50"/>
      <c r="G196" s="50"/>
      <c r="H196" s="50"/>
      <c r="I196" s="50"/>
      <c r="J196" s="50"/>
      <c r="K196" s="105" t="b">
        <v>0</v>
      </c>
    </row>
    <row r="197">
      <c r="A197" s="126"/>
      <c r="B197" s="10"/>
      <c r="C197" s="12"/>
      <c r="D197" s="81"/>
      <c r="E197" s="50"/>
      <c r="F197" s="50"/>
      <c r="G197" s="50"/>
      <c r="H197" s="50"/>
      <c r="I197" s="50"/>
      <c r="J197" s="50"/>
      <c r="K197" s="105" t="b">
        <v>0</v>
      </c>
    </row>
    <row r="198">
      <c r="A198" s="126"/>
      <c r="B198" s="10"/>
      <c r="C198" s="12"/>
      <c r="D198" s="81"/>
      <c r="E198" s="50"/>
      <c r="F198" s="50"/>
      <c r="G198" s="50"/>
      <c r="H198" s="50"/>
      <c r="I198" s="50"/>
      <c r="J198" s="50"/>
      <c r="K198" s="105" t="b">
        <v>0</v>
      </c>
    </row>
    <row r="199">
      <c r="A199" s="126"/>
      <c r="B199" s="10"/>
      <c r="C199" s="12"/>
      <c r="D199" s="81"/>
      <c r="E199" s="50"/>
      <c r="F199" s="50"/>
      <c r="G199" s="50"/>
      <c r="H199" s="50"/>
      <c r="I199" s="50"/>
      <c r="J199" s="50"/>
      <c r="K199" s="105" t="b">
        <v>0</v>
      </c>
    </row>
    <row r="200">
      <c r="A200" s="126"/>
      <c r="B200" s="10"/>
      <c r="C200" s="12"/>
      <c r="D200" s="81"/>
      <c r="E200" s="50"/>
      <c r="F200" s="50"/>
      <c r="G200" s="50"/>
      <c r="H200" s="50"/>
      <c r="I200" s="50"/>
      <c r="J200" s="50"/>
      <c r="K200" s="105" t="b">
        <v>0</v>
      </c>
    </row>
    <row r="201">
      <c r="A201" s="126"/>
      <c r="B201" s="10"/>
      <c r="C201" s="12"/>
      <c r="D201" s="81"/>
      <c r="E201" s="50"/>
      <c r="F201" s="50"/>
      <c r="G201" s="50"/>
      <c r="H201" s="50"/>
      <c r="I201" s="50"/>
      <c r="J201" s="50"/>
      <c r="K201" s="105" t="b">
        <v>0</v>
      </c>
    </row>
    <row r="202">
      <c r="A202" s="126"/>
      <c r="B202" s="10"/>
      <c r="C202" s="12"/>
      <c r="D202" s="81"/>
      <c r="E202" s="50"/>
      <c r="F202" s="50"/>
      <c r="G202" s="50"/>
      <c r="H202" s="50"/>
      <c r="I202" s="50"/>
      <c r="J202" s="50"/>
      <c r="K202" s="105" t="b">
        <v>0</v>
      </c>
    </row>
    <row r="203">
      <c r="A203" s="126"/>
      <c r="B203" s="10"/>
      <c r="C203" s="12"/>
      <c r="D203" s="81"/>
      <c r="E203" s="50"/>
      <c r="F203" s="50"/>
      <c r="G203" s="50"/>
      <c r="H203" s="50"/>
      <c r="I203" s="50"/>
      <c r="J203" s="50"/>
      <c r="K203" s="105" t="b">
        <v>0</v>
      </c>
    </row>
    <row r="204">
      <c r="A204" s="126"/>
      <c r="B204" s="10"/>
      <c r="C204" s="12"/>
      <c r="D204" s="81"/>
      <c r="E204" s="50"/>
      <c r="F204" s="50"/>
      <c r="G204" s="50"/>
      <c r="H204" s="50"/>
      <c r="I204" s="50"/>
      <c r="J204" s="50"/>
      <c r="K204" s="105" t="b">
        <v>0</v>
      </c>
    </row>
    <row r="205">
      <c r="A205" s="126"/>
      <c r="B205" s="10"/>
      <c r="C205" s="12"/>
      <c r="D205" s="81"/>
      <c r="E205" s="50"/>
      <c r="F205" s="50"/>
      <c r="G205" s="50"/>
      <c r="H205" s="50"/>
      <c r="I205" s="50"/>
      <c r="J205" s="50"/>
      <c r="K205" s="105" t="b">
        <v>0</v>
      </c>
    </row>
    <row r="206">
      <c r="A206" s="126"/>
      <c r="B206" s="10"/>
      <c r="C206" s="12"/>
      <c r="D206" s="81"/>
      <c r="E206" s="50"/>
      <c r="F206" s="50"/>
      <c r="G206" s="50"/>
      <c r="H206" s="50"/>
      <c r="I206" s="50"/>
      <c r="J206" s="50"/>
      <c r="K206" s="105" t="b">
        <v>0</v>
      </c>
    </row>
    <row r="207">
      <c r="A207" s="126"/>
      <c r="B207" s="10"/>
      <c r="C207" s="12"/>
      <c r="D207" s="81"/>
      <c r="E207" s="50"/>
      <c r="F207" s="50"/>
      <c r="G207" s="50"/>
      <c r="H207" s="50"/>
      <c r="I207" s="50"/>
      <c r="J207" s="50"/>
      <c r="K207" s="105" t="b">
        <v>0</v>
      </c>
    </row>
    <row r="208">
      <c r="A208" s="126"/>
      <c r="B208" s="10"/>
      <c r="C208" s="12"/>
      <c r="D208" s="81"/>
      <c r="E208" s="50"/>
      <c r="F208" s="50"/>
      <c r="G208" s="50"/>
      <c r="H208" s="50"/>
      <c r="I208" s="50"/>
      <c r="J208" s="50"/>
      <c r="K208" s="105" t="b">
        <v>0</v>
      </c>
    </row>
    <row r="209">
      <c r="A209" s="126"/>
      <c r="B209" s="10"/>
      <c r="C209" s="12"/>
      <c r="D209" s="81"/>
      <c r="E209" s="50"/>
      <c r="F209" s="50"/>
      <c r="G209" s="50"/>
      <c r="H209" s="50"/>
      <c r="I209" s="50"/>
      <c r="J209" s="50"/>
      <c r="K209" s="105" t="b">
        <v>0</v>
      </c>
    </row>
    <row r="210">
      <c r="A210" s="126"/>
      <c r="B210" s="10"/>
      <c r="C210" s="12"/>
      <c r="D210" s="81"/>
      <c r="E210" s="50"/>
      <c r="F210" s="50"/>
      <c r="G210" s="50"/>
      <c r="H210" s="50"/>
      <c r="I210" s="50"/>
      <c r="J210" s="50"/>
      <c r="K210" s="105" t="b">
        <v>0</v>
      </c>
    </row>
    <row r="211">
      <c r="A211" s="126"/>
      <c r="B211" s="10"/>
      <c r="C211" s="12"/>
      <c r="D211" s="81"/>
      <c r="E211" s="50"/>
      <c r="F211" s="50"/>
      <c r="G211" s="50"/>
      <c r="H211" s="50"/>
      <c r="I211" s="50"/>
      <c r="J211" s="50"/>
      <c r="K211" s="105" t="b">
        <v>0</v>
      </c>
    </row>
    <row r="212">
      <c r="A212" s="126"/>
      <c r="B212" s="10"/>
      <c r="C212" s="12"/>
      <c r="D212" s="81"/>
      <c r="E212" s="50"/>
      <c r="F212" s="50"/>
      <c r="G212" s="50"/>
      <c r="H212" s="50"/>
      <c r="I212" s="50"/>
      <c r="J212" s="50"/>
      <c r="K212" s="105" t="b">
        <v>0</v>
      </c>
    </row>
    <row r="213">
      <c r="A213" s="126"/>
      <c r="B213" s="10"/>
      <c r="C213" s="12"/>
      <c r="D213" s="81"/>
      <c r="E213" s="50"/>
      <c r="F213" s="50"/>
      <c r="G213" s="50"/>
      <c r="H213" s="50"/>
      <c r="I213" s="50"/>
      <c r="J213" s="50"/>
      <c r="K213" s="105" t="b">
        <v>0</v>
      </c>
    </row>
    <row r="214">
      <c r="A214" s="126"/>
      <c r="B214" s="10"/>
      <c r="C214" s="12"/>
      <c r="D214" s="81"/>
      <c r="E214" s="50"/>
      <c r="F214" s="50"/>
      <c r="G214" s="50"/>
      <c r="H214" s="50"/>
      <c r="I214" s="50"/>
      <c r="J214" s="50"/>
      <c r="K214" s="105" t="b">
        <v>0</v>
      </c>
    </row>
    <row r="215">
      <c r="A215" s="126"/>
      <c r="B215" s="10"/>
      <c r="C215" s="12"/>
      <c r="D215" s="81"/>
      <c r="E215" s="50"/>
      <c r="F215" s="50"/>
      <c r="G215" s="50"/>
      <c r="H215" s="50"/>
      <c r="I215" s="50"/>
      <c r="J215" s="50"/>
      <c r="K215" s="105" t="b">
        <v>0</v>
      </c>
    </row>
    <row r="216">
      <c r="A216" s="126"/>
      <c r="B216" s="10"/>
      <c r="C216" s="12"/>
      <c r="D216" s="81"/>
      <c r="E216" s="50"/>
      <c r="F216" s="50"/>
      <c r="G216" s="50"/>
      <c r="H216" s="50"/>
      <c r="I216" s="50"/>
      <c r="J216" s="50"/>
      <c r="K216" s="105" t="b">
        <v>0</v>
      </c>
    </row>
    <row r="217">
      <c r="A217" s="126"/>
      <c r="B217" s="10"/>
      <c r="C217" s="12"/>
      <c r="D217" s="81"/>
      <c r="E217" s="50"/>
      <c r="F217" s="50"/>
      <c r="G217" s="50"/>
      <c r="H217" s="50"/>
      <c r="I217" s="50"/>
      <c r="J217" s="50"/>
      <c r="K217" s="105" t="b">
        <v>0</v>
      </c>
    </row>
    <row r="218">
      <c r="A218" s="126"/>
      <c r="B218" s="10"/>
      <c r="C218" s="12"/>
      <c r="D218" s="81"/>
      <c r="E218" s="50"/>
      <c r="F218" s="50"/>
      <c r="G218" s="50"/>
      <c r="H218" s="50"/>
      <c r="I218" s="50"/>
      <c r="J218" s="50"/>
      <c r="K218" s="105" t="b">
        <v>0</v>
      </c>
    </row>
    <row r="219">
      <c r="A219" s="126"/>
      <c r="B219" s="10"/>
      <c r="C219" s="12"/>
      <c r="D219" s="81"/>
      <c r="E219" s="50"/>
      <c r="F219" s="50"/>
      <c r="G219" s="50"/>
      <c r="H219" s="50"/>
      <c r="I219" s="50"/>
      <c r="J219" s="50"/>
      <c r="K219" s="105" t="b">
        <v>0</v>
      </c>
    </row>
    <row r="220">
      <c r="A220" s="126"/>
      <c r="B220" s="10"/>
      <c r="C220" s="12"/>
      <c r="D220" s="81"/>
      <c r="E220" s="50"/>
      <c r="F220" s="50"/>
      <c r="G220" s="50"/>
      <c r="H220" s="50"/>
      <c r="I220" s="50"/>
      <c r="J220" s="50"/>
      <c r="K220" s="105" t="b">
        <v>0</v>
      </c>
    </row>
    <row r="221">
      <c r="A221" s="126"/>
      <c r="B221" s="10"/>
      <c r="C221" s="12"/>
      <c r="D221" s="81"/>
      <c r="E221" s="50"/>
      <c r="F221" s="50"/>
      <c r="G221" s="50"/>
      <c r="H221" s="50"/>
      <c r="I221" s="50"/>
      <c r="J221" s="50"/>
      <c r="K221" s="105" t="b">
        <v>0</v>
      </c>
    </row>
    <row r="222">
      <c r="A222" s="126"/>
      <c r="B222" s="10"/>
      <c r="C222" s="12"/>
      <c r="D222" s="81"/>
      <c r="E222" s="50"/>
      <c r="F222" s="50"/>
      <c r="G222" s="50"/>
      <c r="H222" s="50"/>
      <c r="I222" s="50"/>
      <c r="J222" s="50"/>
      <c r="K222" s="105" t="b">
        <v>0</v>
      </c>
    </row>
    <row r="223">
      <c r="A223" s="126"/>
      <c r="B223" s="10"/>
      <c r="C223" s="12"/>
      <c r="D223" s="81"/>
      <c r="E223" s="50"/>
      <c r="F223" s="50"/>
      <c r="G223" s="50"/>
      <c r="H223" s="50"/>
      <c r="I223" s="50"/>
      <c r="J223" s="50"/>
      <c r="K223" s="105" t="b">
        <v>0</v>
      </c>
    </row>
    <row r="224">
      <c r="A224" s="126"/>
      <c r="B224" s="10"/>
      <c r="C224" s="12"/>
      <c r="D224" s="81"/>
      <c r="E224" s="50"/>
      <c r="F224" s="50"/>
      <c r="G224" s="50"/>
      <c r="H224" s="50"/>
      <c r="I224" s="50"/>
      <c r="J224" s="50"/>
      <c r="K224" s="105" t="b">
        <v>0</v>
      </c>
    </row>
    <row r="225">
      <c r="A225" s="126"/>
      <c r="B225" s="10"/>
      <c r="C225" s="12"/>
      <c r="D225" s="81"/>
      <c r="E225" s="50"/>
      <c r="F225" s="50"/>
      <c r="G225" s="50"/>
      <c r="H225" s="50"/>
      <c r="I225" s="50"/>
      <c r="J225" s="50"/>
      <c r="K225" s="105" t="b">
        <v>0</v>
      </c>
    </row>
    <row r="226">
      <c r="A226" s="126"/>
      <c r="B226" s="10"/>
      <c r="C226" s="12"/>
      <c r="D226" s="81"/>
      <c r="E226" s="50"/>
      <c r="F226" s="50"/>
      <c r="G226" s="50"/>
      <c r="H226" s="50"/>
      <c r="I226" s="50"/>
      <c r="J226" s="50"/>
      <c r="K226" s="105" t="b">
        <v>0</v>
      </c>
    </row>
    <row r="227">
      <c r="A227" s="126"/>
      <c r="B227" s="10"/>
      <c r="C227" s="12"/>
      <c r="D227" s="81"/>
      <c r="E227" s="50"/>
      <c r="F227" s="50"/>
      <c r="G227" s="50"/>
      <c r="H227" s="50"/>
      <c r="I227" s="50"/>
      <c r="J227" s="50"/>
      <c r="K227" s="105" t="b">
        <v>0</v>
      </c>
    </row>
    <row r="228">
      <c r="A228" s="126"/>
      <c r="B228" s="10"/>
      <c r="C228" s="12"/>
      <c r="D228" s="81"/>
      <c r="E228" s="50"/>
      <c r="F228" s="50"/>
      <c r="G228" s="50"/>
      <c r="H228" s="50"/>
      <c r="I228" s="50"/>
      <c r="J228" s="50"/>
      <c r="K228" s="105" t="b">
        <v>0</v>
      </c>
    </row>
    <row r="229">
      <c r="A229" s="126"/>
      <c r="B229" s="10"/>
      <c r="C229" s="12"/>
      <c r="D229" s="81"/>
      <c r="E229" s="50"/>
      <c r="F229" s="50"/>
      <c r="G229" s="50"/>
      <c r="H229" s="50"/>
      <c r="I229" s="50"/>
      <c r="J229" s="50"/>
      <c r="K229" s="105" t="b">
        <v>0</v>
      </c>
    </row>
    <row r="230">
      <c r="A230" s="126"/>
      <c r="B230" s="10"/>
      <c r="C230" s="12"/>
      <c r="D230" s="81"/>
      <c r="E230" s="50"/>
      <c r="F230" s="50"/>
      <c r="G230" s="50"/>
      <c r="H230" s="50"/>
      <c r="I230" s="50"/>
      <c r="J230" s="50"/>
      <c r="K230" s="105" t="b">
        <v>0</v>
      </c>
    </row>
    <row r="231">
      <c r="A231" s="126"/>
      <c r="B231" s="10"/>
      <c r="C231" s="12"/>
      <c r="D231" s="81"/>
      <c r="E231" s="50"/>
      <c r="F231" s="50"/>
      <c r="G231" s="50"/>
      <c r="H231" s="50"/>
      <c r="I231" s="50"/>
      <c r="J231" s="50"/>
      <c r="K231" s="105" t="b">
        <v>0</v>
      </c>
    </row>
    <row r="232">
      <c r="A232" s="126"/>
      <c r="B232" s="10"/>
      <c r="C232" s="12"/>
      <c r="D232" s="81"/>
      <c r="E232" s="50"/>
      <c r="F232" s="50"/>
      <c r="G232" s="50"/>
      <c r="H232" s="50"/>
      <c r="I232" s="50"/>
      <c r="J232" s="50"/>
      <c r="K232" s="105" t="b">
        <v>0</v>
      </c>
    </row>
    <row r="233">
      <c r="A233" s="126"/>
      <c r="B233" s="10"/>
      <c r="C233" s="12"/>
      <c r="D233" s="81"/>
      <c r="E233" s="50"/>
      <c r="F233" s="50"/>
      <c r="G233" s="50"/>
      <c r="H233" s="50"/>
      <c r="I233" s="50"/>
      <c r="J233" s="50"/>
      <c r="K233" s="105" t="b">
        <v>0</v>
      </c>
    </row>
    <row r="234">
      <c r="A234" s="126"/>
      <c r="B234" s="10"/>
      <c r="C234" s="12"/>
      <c r="D234" s="81"/>
      <c r="E234" s="50"/>
      <c r="F234" s="50"/>
      <c r="G234" s="50"/>
      <c r="H234" s="50"/>
      <c r="I234" s="50"/>
      <c r="J234" s="50"/>
      <c r="K234" s="105" t="b">
        <v>0</v>
      </c>
    </row>
    <row r="235">
      <c r="A235" s="126"/>
      <c r="B235" s="10"/>
      <c r="C235" s="12"/>
      <c r="D235" s="81"/>
      <c r="E235" s="50"/>
      <c r="F235" s="50"/>
      <c r="G235" s="50"/>
      <c r="H235" s="50"/>
      <c r="I235" s="50"/>
      <c r="J235" s="50"/>
      <c r="K235" s="105" t="b">
        <v>0</v>
      </c>
    </row>
    <row r="236">
      <c r="A236" s="126"/>
      <c r="B236" s="10"/>
      <c r="C236" s="12"/>
      <c r="D236" s="81"/>
      <c r="E236" s="50"/>
      <c r="F236" s="50"/>
      <c r="G236" s="50"/>
      <c r="H236" s="50"/>
      <c r="I236" s="50"/>
      <c r="J236" s="50"/>
      <c r="K236" s="105" t="b">
        <v>0</v>
      </c>
    </row>
    <row r="237">
      <c r="A237" s="126"/>
      <c r="B237" s="10"/>
      <c r="C237" s="12"/>
      <c r="D237" s="81"/>
      <c r="E237" s="50"/>
      <c r="F237" s="50"/>
      <c r="G237" s="50"/>
      <c r="H237" s="50"/>
      <c r="I237" s="50"/>
      <c r="J237" s="50"/>
      <c r="K237" s="105" t="b">
        <v>0</v>
      </c>
    </row>
    <row r="238">
      <c r="A238" s="126"/>
      <c r="B238" s="10"/>
      <c r="C238" s="12"/>
      <c r="D238" s="81"/>
      <c r="E238" s="50"/>
      <c r="F238" s="50"/>
      <c r="G238" s="50"/>
      <c r="H238" s="50"/>
      <c r="I238" s="50"/>
      <c r="J238" s="50"/>
      <c r="K238" s="105" t="b">
        <v>0</v>
      </c>
    </row>
    <row r="239">
      <c r="A239" s="126"/>
      <c r="B239" s="10"/>
      <c r="C239" s="12"/>
      <c r="D239" s="81"/>
      <c r="E239" s="50"/>
      <c r="F239" s="50"/>
      <c r="G239" s="50"/>
      <c r="H239" s="50"/>
      <c r="I239" s="50"/>
      <c r="J239" s="50"/>
      <c r="K239" s="105" t="b">
        <v>0</v>
      </c>
    </row>
    <row r="240">
      <c r="A240" s="126"/>
      <c r="B240" s="10"/>
      <c r="C240" s="12"/>
      <c r="D240" s="81"/>
      <c r="E240" s="50"/>
      <c r="F240" s="50"/>
      <c r="G240" s="50"/>
      <c r="H240" s="50"/>
      <c r="I240" s="50"/>
      <c r="J240" s="50"/>
      <c r="K240" s="105" t="b">
        <v>0</v>
      </c>
    </row>
    <row r="241">
      <c r="A241" s="126"/>
      <c r="B241" s="10"/>
      <c r="C241" s="12"/>
      <c r="D241" s="81"/>
      <c r="E241" s="50"/>
      <c r="F241" s="50"/>
      <c r="G241" s="50"/>
      <c r="H241" s="50"/>
      <c r="I241" s="50"/>
      <c r="J241" s="50"/>
      <c r="K241" s="105" t="b">
        <v>0</v>
      </c>
    </row>
    <row r="242">
      <c r="A242" s="126"/>
      <c r="B242" s="10"/>
      <c r="C242" s="12"/>
      <c r="D242" s="81"/>
      <c r="E242" s="50"/>
      <c r="F242" s="50"/>
      <c r="G242" s="50"/>
      <c r="H242" s="50"/>
      <c r="I242" s="50"/>
      <c r="J242" s="50"/>
      <c r="K242" s="105" t="b">
        <v>0</v>
      </c>
    </row>
    <row r="243">
      <c r="A243" s="126"/>
      <c r="B243" s="10"/>
      <c r="C243" s="12"/>
      <c r="D243" s="81"/>
      <c r="E243" s="50"/>
      <c r="F243" s="50"/>
      <c r="G243" s="50"/>
      <c r="H243" s="50"/>
      <c r="I243" s="50"/>
      <c r="J243" s="50"/>
      <c r="K243" s="105" t="b">
        <v>0</v>
      </c>
    </row>
    <row r="244">
      <c r="A244" s="126"/>
      <c r="B244" s="10"/>
      <c r="C244" s="12"/>
      <c r="D244" s="81"/>
      <c r="E244" s="50"/>
      <c r="F244" s="50"/>
      <c r="G244" s="50"/>
      <c r="H244" s="50"/>
      <c r="I244" s="50"/>
      <c r="J244" s="50"/>
      <c r="K244" s="105" t="b">
        <v>0</v>
      </c>
    </row>
    <row r="245">
      <c r="A245" s="126"/>
      <c r="B245" s="10"/>
      <c r="C245" s="12"/>
      <c r="D245" s="81"/>
      <c r="E245" s="50"/>
      <c r="F245" s="50"/>
      <c r="G245" s="50"/>
      <c r="H245" s="50"/>
      <c r="I245" s="50"/>
      <c r="J245" s="50"/>
      <c r="K245" s="105" t="b">
        <v>0</v>
      </c>
    </row>
    <row r="246">
      <c r="A246" s="126"/>
      <c r="B246" s="10"/>
      <c r="C246" s="12"/>
      <c r="D246" s="81"/>
      <c r="E246" s="50"/>
      <c r="F246" s="50"/>
      <c r="G246" s="50"/>
      <c r="H246" s="50"/>
      <c r="I246" s="50"/>
      <c r="J246" s="50"/>
      <c r="K246" s="105" t="b">
        <v>0</v>
      </c>
    </row>
    <row r="247">
      <c r="A247" s="126"/>
      <c r="B247" s="10"/>
      <c r="C247" s="12"/>
      <c r="D247" s="81"/>
      <c r="E247" s="50"/>
      <c r="F247" s="50"/>
      <c r="G247" s="50"/>
      <c r="H247" s="50"/>
      <c r="I247" s="50"/>
      <c r="J247" s="50"/>
      <c r="K247" s="105" t="b">
        <v>0</v>
      </c>
    </row>
    <row r="248">
      <c r="A248" s="126"/>
      <c r="B248" s="10"/>
      <c r="C248" s="12"/>
      <c r="D248" s="81"/>
      <c r="E248" s="50"/>
      <c r="F248" s="50"/>
      <c r="G248" s="50"/>
      <c r="H248" s="50"/>
      <c r="I248" s="50"/>
      <c r="J248" s="50"/>
      <c r="K248" s="105" t="b">
        <v>0</v>
      </c>
    </row>
    <row r="249">
      <c r="A249" s="126"/>
      <c r="B249" s="10"/>
      <c r="C249" s="12"/>
      <c r="D249" s="81"/>
      <c r="E249" s="50"/>
      <c r="F249" s="50"/>
      <c r="G249" s="50"/>
      <c r="H249" s="50"/>
      <c r="I249" s="50"/>
      <c r="J249" s="50"/>
      <c r="K249" s="105" t="b">
        <v>0</v>
      </c>
    </row>
    <row r="250">
      <c r="A250" s="126"/>
      <c r="B250" s="10"/>
      <c r="C250" s="12"/>
      <c r="D250" s="81"/>
      <c r="E250" s="50"/>
      <c r="F250" s="50"/>
      <c r="G250" s="50"/>
      <c r="H250" s="50"/>
      <c r="I250" s="50"/>
      <c r="J250" s="50"/>
      <c r="K250" s="105" t="b">
        <v>0</v>
      </c>
    </row>
    <row r="251">
      <c r="A251" s="126"/>
      <c r="B251" s="10"/>
      <c r="C251" s="12"/>
      <c r="D251" s="81"/>
      <c r="E251" s="50"/>
      <c r="F251" s="50"/>
      <c r="G251" s="50"/>
      <c r="H251" s="50"/>
      <c r="I251" s="50"/>
      <c r="J251" s="50"/>
      <c r="K251" s="105" t="b">
        <v>0</v>
      </c>
    </row>
    <row r="252">
      <c r="A252" s="126"/>
      <c r="B252" s="10"/>
      <c r="C252" s="12"/>
      <c r="D252" s="81"/>
      <c r="E252" s="50"/>
      <c r="F252" s="50"/>
      <c r="G252" s="50"/>
      <c r="H252" s="50"/>
      <c r="I252" s="50"/>
      <c r="J252" s="50"/>
      <c r="K252" s="105" t="b">
        <v>0</v>
      </c>
    </row>
    <row r="253">
      <c r="A253" s="126"/>
      <c r="B253" s="10"/>
      <c r="C253" s="12"/>
      <c r="D253" s="81"/>
      <c r="E253" s="50"/>
      <c r="F253" s="50"/>
      <c r="G253" s="50"/>
      <c r="H253" s="50"/>
      <c r="I253" s="50"/>
      <c r="J253" s="50"/>
      <c r="K253" s="105" t="b">
        <v>0</v>
      </c>
    </row>
    <row r="254">
      <c r="A254" s="126"/>
      <c r="B254" s="10"/>
      <c r="C254" s="12"/>
      <c r="D254" s="81"/>
      <c r="E254" s="50"/>
      <c r="F254" s="50"/>
      <c r="G254" s="50"/>
      <c r="H254" s="50"/>
      <c r="I254" s="50"/>
      <c r="J254" s="50"/>
      <c r="K254" s="105" t="b">
        <v>0</v>
      </c>
    </row>
    <row r="255">
      <c r="A255" s="126"/>
      <c r="B255" s="10"/>
      <c r="C255" s="12"/>
      <c r="D255" s="81"/>
      <c r="E255" s="50"/>
      <c r="F255" s="50"/>
      <c r="G255" s="50"/>
      <c r="H255" s="50"/>
      <c r="I255" s="50"/>
      <c r="J255" s="50"/>
      <c r="K255" s="105" t="b">
        <v>0</v>
      </c>
    </row>
    <row r="256">
      <c r="A256" s="126"/>
      <c r="B256" s="10"/>
      <c r="C256" s="12"/>
      <c r="D256" s="81"/>
      <c r="E256" s="50"/>
      <c r="F256" s="50"/>
      <c r="G256" s="50"/>
      <c r="H256" s="50"/>
      <c r="I256" s="50"/>
      <c r="J256" s="50"/>
      <c r="K256" s="105" t="b">
        <v>0</v>
      </c>
    </row>
    <row r="257">
      <c r="A257" s="126"/>
      <c r="B257" s="10"/>
      <c r="C257" s="12"/>
      <c r="D257" s="81"/>
      <c r="E257" s="50"/>
      <c r="F257" s="50"/>
      <c r="G257" s="50"/>
      <c r="H257" s="50"/>
      <c r="I257" s="50"/>
      <c r="J257" s="50"/>
      <c r="K257" s="105" t="b">
        <v>0</v>
      </c>
    </row>
    <row r="258">
      <c r="A258" s="126"/>
      <c r="B258" s="10"/>
      <c r="C258" s="12"/>
      <c r="D258" s="81"/>
      <c r="E258" s="50"/>
      <c r="F258" s="50"/>
      <c r="G258" s="50"/>
      <c r="H258" s="50"/>
      <c r="I258" s="50"/>
      <c r="J258" s="50"/>
      <c r="K258" s="105" t="b">
        <v>0</v>
      </c>
    </row>
    <row r="259">
      <c r="A259" s="126"/>
      <c r="B259" s="10"/>
      <c r="C259" s="12"/>
      <c r="D259" s="81"/>
      <c r="E259" s="50"/>
      <c r="F259" s="50"/>
      <c r="G259" s="50"/>
      <c r="H259" s="50"/>
      <c r="I259" s="50"/>
      <c r="J259" s="50"/>
      <c r="K259" s="105" t="b">
        <v>0</v>
      </c>
    </row>
    <row r="260">
      <c r="A260" s="126"/>
      <c r="B260" s="10"/>
      <c r="C260" s="12"/>
      <c r="D260" s="81"/>
      <c r="E260" s="50"/>
      <c r="F260" s="50"/>
      <c r="G260" s="50"/>
      <c r="H260" s="50"/>
      <c r="I260" s="50"/>
      <c r="J260" s="50"/>
      <c r="K260" s="105" t="b">
        <v>0</v>
      </c>
    </row>
    <row r="261">
      <c r="A261" s="126"/>
      <c r="B261" s="10"/>
      <c r="C261" s="12"/>
      <c r="D261" s="81"/>
      <c r="E261" s="50"/>
      <c r="F261" s="50"/>
      <c r="G261" s="50"/>
      <c r="H261" s="50"/>
      <c r="I261" s="50"/>
      <c r="J261" s="50"/>
      <c r="K261" s="105" t="b">
        <v>0</v>
      </c>
    </row>
    <row r="262">
      <c r="A262" s="126"/>
      <c r="B262" s="10"/>
      <c r="C262" s="12"/>
      <c r="D262" s="81"/>
      <c r="E262" s="50"/>
      <c r="F262" s="50"/>
      <c r="G262" s="50"/>
      <c r="H262" s="50"/>
      <c r="I262" s="50"/>
      <c r="J262" s="50"/>
      <c r="K262" s="105" t="b">
        <v>0</v>
      </c>
    </row>
    <row r="263">
      <c r="A263" s="126"/>
      <c r="B263" s="10"/>
      <c r="C263" s="12"/>
      <c r="D263" s="81"/>
      <c r="E263" s="50"/>
      <c r="F263" s="50"/>
      <c r="G263" s="50"/>
      <c r="H263" s="50"/>
      <c r="I263" s="50"/>
      <c r="J263" s="50"/>
      <c r="K263" s="105" t="b">
        <v>0</v>
      </c>
    </row>
    <row r="264">
      <c r="A264" s="126"/>
      <c r="B264" s="10"/>
      <c r="C264" s="12"/>
      <c r="D264" s="81"/>
      <c r="E264" s="50"/>
      <c r="F264" s="50"/>
      <c r="G264" s="50"/>
      <c r="H264" s="50"/>
      <c r="I264" s="50"/>
      <c r="J264" s="50"/>
      <c r="K264" s="105" t="b">
        <v>0</v>
      </c>
    </row>
    <row r="265">
      <c r="A265" s="126"/>
      <c r="B265" s="10"/>
      <c r="C265" s="12"/>
      <c r="D265" s="81"/>
      <c r="E265" s="50"/>
      <c r="F265" s="50"/>
      <c r="G265" s="50"/>
      <c r="H265" s="50"/>
      <c r="I265" s="50"/>
      <c r="J265" s="50"/>
      <c r="K265" s="105" t="b">
        <v>0</v>
      </c>
    </row>
    <row r="266">
      <c r="A266" s="126"/>
      <c r="B266" s="10"/>
      <c r="C266" s="12"/>
      <c r="D266" s="81"/>
      <c r="E266" s="50"/>
      <c r="F266" s="50"/>
      <c r="G266" s="50"/>
      <c r="H266" s="50"/>
      <c r="I266" s="50"/>
      <c r="J266" s="50"/>
      <c r="K266" s="105" t="b">
        <v>0</v>
      </c>
    </row>
    <row r="267">
      <c r="A267" s="126"/>
      <c r="B267" s="10"/>
      <c r="C267" s="12"/>
      <c r="D267" s="81"/>
      <c r="E267" s="50"/>
      <c r="F267" s="50"/>
      <c r="G267" s="50"/>
      <c r="H267" s="50"/>
      <c r="I267" s="50"/>
      <c r="J267" s="50"/>
      <c r="K267" s="105" t="b">
        <v>0</v>
      </c>
    </row>
    <row r="268">
      <c r="A268" s="126"/>
      <c r="B268" s="10"/>
      <c r="C268" s="12"/>
      <c r="D268" s="81"/>
      <c r="E268" s="50"/>
      <c r="F268" s="50"/>
      <c r="G268" s="50"/>
      <c r="H268" s="50"/>
      <c r="I268" s="50"/>
      <c r="J268" s="50"/>
      <c r="K268" s="105" t="b">
        <v>0</v>
      </c>
    </row>
    <row r="269">
      <c r="A269" s="126"/>
      <c r="B269" s="10"/>
      <c r="C269" s="12"/>
      <c r="D269" s="81"/>
      <c r="E269" s="50"/>
      <c r="F269" s="50"/>
      <c r="G269" s="50"/>
      <c r="H269" s="50"/>
      <c r="I269" s="50"/>
      <c r="J269" s="50"/>
      <c r="K269" s="105" t="b">
        <v>0</v>
      </c>
    </row>
    <row r="270">
      <c r="A270" s="126"/>
      <c r="B270" s="10"/>
      <c r="C270" s="12"/>
      <c r="D270" s="81"/>
      <c r="E270" s="50"/>
      <c r="F270" s="50"/>
      <c r="G270" s="50"/>
      <c r="H270" s="50"/>
      <c r="I270" s="50"/>
      <c r="J270" s="50"/>
      <c r="K270" s="105" t="b">
        <v>0</v>
      </c>
    </row>
    <row r="271">
      <c r="A271" s="126"/>
      <c r="B271" s="10"/>
      <c r="C271" s="12"/>
      <c r="D271" s="81"/>
      <c r="E271" s="50"/>
      <c r="F271" s="50"/>
      <c r="G271" s="50"/>
      <c r="H271" s="50"/>
      <c r="I271" s="50"/>
      <c r="J271" s="50"/>
      <c r="K271" s="105" t="b">
        <v>0</v>
      </c>
    </row>
    <row r="272">
      <c r="A272" s="126"/>
      <c r="B272" s="10"/>
      <c r="C272" s="12"/>
      <c r="D272" s="81"/>
      <c r="E272" s="50"/>
      <c r="F272" s="50"/>
      <c r="G272" s="50"/>
      <c r="H272" s="50"/>
      <c r="I272" s="50"/>
      <c r="J272" s="50"/>
      <c r="K272" s="105" t="b">
        <v>0</v>
      </c>
    </row>
    <row r="273">
      <c r="A273" s="126"/>
      <c r="B273" s="10"/>
      <c r="C273" s="12"/>
      <c r="D273" s="81"/>
      <c r="E273" s="50"/>
      <c r="F273" s="50"/>
      <c r="G273" s="50"/>
      <c r="H273" s="50"/>
      <c r="I273" s="50"/>
      <c r="J273" s="50"/>
      <c r="K273" s="105" t="b">
        <v>0</v>
      </c>
    </row>
    <row r="274">
      <c r="A274" s="126"/>
      <c r="B274" s="10"/>
      <c r="C274" s="12"/>
      <c r="D274" s="81"/>
      <c r="E274" s="50"/>
      <c r="F274" s="50"/>
      <c r="G274" s="50"/>
      <c r="H274" s="50"/>
      <c r="I274" s="50"/>
      <c r="J274" s="50"/>
      <c r="K274" s="105" t="b">
        <v>0</v>
      </c>
    </row>
    <row r="275">
      <c r="A275" s="126"/>
      <c r="B275" s="10"/>
      <c r="C275" s="12"/>
      <c r="D275" s="81"/>
      <c r="E275" s="50"/>
      <c r="F275" s="50"/>
      <c r="G275" s="50"/>
      <c r="H275" s="50"/>
      <c r="I275" s="50"/>
      <c r="J275" s="50"/>
      <c r="K275" s="105" t="b">
        <v>0</v>
      </c>
    </row>
    <row r="276">
      <c r="A276" s="126"/>
      <c r="B276" s="10"/>
      <c r="C276" s="12"/>
      <c r="D276" s="81"/>
      <c r="E276" s="50"/>
      <c r="F276" s="50"/>
      <c r="G276" s="50"/>
      <c r="H276" s="50"/>
      <c r="I276" s="50"/>
      <c r="J276" s="50"/>
      <c r="K276" s="105" t="b">
        <v>0</v>
      </c>
    </row>
    <row r="277">
      <c r="A277" s="126"/>
      <c r="B277" s="10"/>
      <c r="C277" s="12"/>
      <c r="D277" s="81"/>
      <c r="E277" s="50"/>
      <c r="F277" s="50"/>
      <c r="G277" s="50"/>
      <c r="H277" s="50"/>
      <c r="I277" s="50"/>
      <c r="J277" s="50"/>
      <c r="K277" s="105" t="b">
        <v>0</v>
      </c>
    </row>
    <row r="278">
      <c r="A278" s="126"/>
      <c r="B278" s="10"/>
      <c r="C278" s="12"/>
      <c r="D278" s="81"/>
      <c r="E278" s="50"/>
      <c r="F278" s="50"/>
      <c r="G278" s="50"/>
      <c r="H278" s="50"/>
      <c r="I278" s="50"/>
      <c r="J278" s="50"/>
      <c r="K278" s="105" t="b">
        <v>0</v>
      </c>
    </row>
    <row r="279">
      <c r="A279" s="126"/>
      <c r="B279" s="10"/>
      <c r="C279" s="12"/>
      <c r="D279" s="81"/>
      <c r="E279" s="50"/>
      <c r="F279" s="50"/>
      <c r="G279" s="50"/>
      <c r="H279" s="50"/>
      <c r="I279" s="50"/>
      <c r="J279" s="50"/>
      <c r="K279" s="105" t="b">
        <v>0</v>
      </c>
    </row>
    <row r="280">
      <c r="A280" s="126"/>
      <c r="B280" s="10"/>
      <c r="C280" s="12"/>
      <c r="D280" s="81"/>
      <c r="E280" s="50"/>
      <c r="F280" s="50"/>
      <c r="G280" s="50"/>
      <c r="H280" s="50"/>
      <c r="I280" s="50"/>
      <c r="J280" s="50"/>
      <c r="K280" s="105" t="b">
        <v>0</v>
      </c>
    </row>
    <row r="281">
      <c r="A281" s="126"/>
      <c r="B281" s="10"/>
      <c r="C281" s="12"/>
      <c r="D281" s="81"/>
      <c r="E281" s="50"/>
      <c r="F281" s="50"/>
      <c r="G281" s="50"/>
      <c r="H281" s="50"/>
      <c r="I281" s="50"/>
      <c r="J281" s="50"/>
      <c r="K281" s="105" t="b">
        <v>0</v>
      </c>
    </row>
    <row r="282">
      <c r="A282" s="126"/>
      <c r="B282" s="10"/>
      <c r="C282" s="12"/>
      <c r="D282" s="81"/>
      <c r="E282" s="50"/>
      <c r="F282" s="50"/>
      <c r="G282" s="50"/>
      <c r="H282" s="50"/>
      <c r="I282" s="50"/>
      <c r="J282" s="50"/>
      <c r="K282" s="105" t="b">
        <v>0</v>
      </c>
    </row>
    <row r="283">
      <c r="A283" s="126"/>
      <c r="B283" s="10"/>
      <c r="C283" s="12"/>
      <c r="D283" s="81"/>
      <c r="E283" s="50"/>
      <c r="F283" s="50"/>
      <c r="G283" s="50"/>
      <c r="H283" s="50"/>
      <c r="I283" s="50"/>
      <c r="J283" s="50"/>
      <c r="K283" s="105" t="b">
        <v>0</v>
      </c>
    </row>
    <row r="284">
      <c r="A284" s="126"/>
      <c r="B284" s="10"/>
      <c r="C284" s="12"/>
      <c r="D284" s="81"/>
      <c r="E284" s="50"/>
      <c r="F284" s="50"/>
      <c r="G284" s="50"/>
      <c r="H284" s="50"/>
      <c r="I284" s="50"/>
      <c r="J284" s="50"/>
      <c r="K284" s="105" t="b">
        <v>0</v>
      </c>
    </row>
    <row r="285">
      <c r="A285" s="126"/>
      <c r="B285" s="10"/>
      <c r="C285" s="12"/>
      <c r="D285" s="81"/>
      <c r="E285" s="50"/>
      <c r="F285" s="50"/>
      <c r="G285" s="50"/>
      <c r="H285" s="50"/>
      <c r="I285" s="50"/>
      <c r="J285" s="50"/>
      <c r="K285" s="105" t="b">
        <v>0</v>
      </c>
    </row>
    <row r="286">
      <c r="A286" s="126"/>
      <c r="B286" s="10"/>
      <c r="C286" s="12"/>
      <c r="D286" s="81"/>
      <c r="E286" s="50"/>
      <c r="F286" s="50"/>
      <c r="G286" s="50"/>
      <c r="H286" s="50"/>
      <c r="I286" s="50"/>
      <c r="J286" s="50"/>
      <c r="K286" s="105" t="b">
        <v>0</v>
      </c>
    </row>
    <row r="287">
      <c r="A287" s="126"/>
      <c r="B287" s="10"/>
      <c r="C287" s="12"/>
      <c r="D287" s="81"/>
      <c r="E287" s="50"/>
      <c r="F287" s="50"/>
      <c r="G287" s="50"/>
      <c r="H287" s="50"/>
      <c r="I287" s="50"/>
      <c r="J287" s="50"/>
      <c r="K287" s="105" t="b">
        <v>0</v>
      </c>
    </row>
    <row r="288">
      <c r="A288" s="126"/>
      <c r="B288" s="10"/>
      <c r="C288" s="12"/>
      <c r="D288" s="81"/>
      <c r="E288" s="50"/>
      <c r="F288" s="50"/>
      <c r="G288" s="50"/>
      <c r="H288" s="50"/>
      <c r="I288" s="50"/>
      <c r="J288" s="50"/>
      <c r="K288" s="105" t="b">
        <v>0</v>
      </c>
    </row>
    <row r="289">
      <c r="A289" s="126"/>
      <c r="B289" s="10"/>
      <c r="C289" s="12"/>
      <c r="D289" s="81"/>
      <c r="E289" s="50"/>
      <c r="F289" s="50"/>
      <c r="G289" s="50"/>
      <c r="H289" s="50"/>
      <c r="I289" s="50"/>
      <c r="J289" s="50"/>
      <c r="K289" s="105" t="b">
        <v>0</v>
      </c>
    </row>
    <row r="290">
      <c r="A290" s="126"/>
      <c r="B290" s="10"/>
      <c r="C290" s="12"/>
      <c r="D290" s="81"/>
      <c r="E290" s="50"/>
      <c r="F290" s="50"/>
      <c r="G290" s="50"/>
      <c r="H290" s="50"/>
      <c r="I290" s="50"/>
      <c r="J290" s="50"/>
      <c r="K290" s="105" t="b">
        <v>0</v>
      </c>
    </row>
    <row r="291">
      <c r="A291" s="126"/>
      <c r="B291" s="10"/>
      <c r="C291" s="12"/>
      <c r="D291" s="81"/>
      <c r="E291" s="50"/>
      <c r="F291" s="50"/>
      <c r="G291" s="50"/>
      <c r="H291" s="50"/>
      <c r="I291" s="50"/>
      <c r="J291" s="50"/>
      <c r="K291" s="105" t="b">
        <v>0</v>
      </c>
    </row>
    <row r="292">
      <c r="A292" s="126"/>
      <c r="B292" s="10"/>
      <c r="C292" s="12"/>
      <c r="D292" s="81"/>
      <c r="E292" s="50"/>
      <c r="F292" s="50"/>
      <c r="G292" s="50"/>
      <c r="H292" s="50"/>
      <c r="I292" s="50"/>
      <c r="J292" s="50"/>
      <c r="K292" s="105" t="b">
        <v>0</v>
      </c>
    </row>
    <row r="293">
      <c r="A293" s="126"/>
      <c r="B293" s="10"/>
      <c r="C293" s="12"/>
      <c r="D293" s="81"/>
      <c r="E293" s="50"/>
      <c r="F293" s="50"/>
      <c r="G293" s="50"/>
      <c r="H293" s="50"/>
      <c r="I293" s="50"/>
      <c r="J293" s="50"/>
      <c r="K293" s="105" t="b">
        <v>0</v>
      </c>
    </row>
    <row r="294">
      <c r="A294" s="126"/>
      <c r="B294" s="10"/>
      <c r="C294" s="12"/>
      <c r="D294" s="81"/>
      <c r="E294" s="50"/>
      <c r="F294" s="50"/>
      <c r="G294" s="50"/>
      <c r="H294" s="50"/>
      <c r="I294" s="50"/>
      <c r="J294" s="50"/>
      <c r="K294" s="105" t="b">
        <v>0</v>
      </c>
    </row>
    <row r="295">
      <c r="A295" s="126"/>
      <c r="B295" s="10"/>
      <c r="C295" s="12"/>
      <c r="D295" s="81"/>
      <c r="E295" s="50"/>
      <c r="F295" s="50"/>
      <c r="G295" s="50"/>
      <c r="H295" s="50"/>
      <c r="I295" s="50"/>
      <c r="J295" s="50"/>
      <c r="K295" s="105" t="b">
        <v>0</v>
      </c>
    </row>
    <row r="296">
      <c r="A296" s="126"/>
      <c r="B296" s="10"/>
      <c r="C296" s="12"/>
      <c r="D296" s="81"/>
      <c r="E296" s="50"/>
      <c r="F296" s="50"/>
      <c r="G296" s="50"/>
      <c r="H296" s="50"/>
      <c r="I296" s="50"/>
      <c r="J296" s="50"/>
      <c r="K296" s="105" t="b">
        <v>0</v>
      </c>
    </row>
    <row r="297">
      <c r="A297" s="126"/>
      <c r="B297" s="10"/>
      <c r="C297" s="12"/>
      <c r="D297" s="81"/>
      <c r="E297" s="50"/>
      <c r="F297" s="50"/>
      <c r="G297" s="50"/>
      <c r="H297" s="50"/>
      <c r="I297" s="50"/>
      <c r="J297" s="50"/>
      <c r="K297" s="105" t="b">
        <v>0</v>
      </c>
    </row>
    <row r="298">
      <c r="A298" s="126"/>
      <c r="B298" s="10"/>
      <c r="C298" s="12"/>
      <c r="D298" s="81"/>
      <c r="E298" s="50"/>
      <c r="F298" s="50"/>
      <c r="G298" s="50"/>
      <c r="H298" s="50"/>
      <c r="I298" s="50"/>
      <c r="J298" s="50"/>
      <c r="K298" s="105" t="b">
        <v>0</v>
      </c>
    </row>
    <row r="299">
      <c r="A299" s="126"/>
      <c r="B299" s="10"/>
      <c r="C299" s="12"/>
      <c r="D299" s="81"/>
      <c r="E299" s="50"/>
      <c r="F299" s="50"/>
      <c r="G299" s="50"/>
      <c r="H299" s="50"/>
      <c r="I299" s="50"/>
      <c r="J299" s="50"/>
      <c r="K299" s="105" t="b">
        <v>0</v>
      </c>
    </row>
    <row r="300">
      <c r="A300" s="126"/>
      <c r="B300" s="10"/>
      <c r="C300" s="12"/>
      <c r="D300" s="81"/>
      <c r="E300" s="50"/>
      <c r="F300" s="50"/>
      <c r="G300" s="50"/>
      <c r="H300" s="50"/>
      <c r="I300" s="50"/>
      <c r="J300" s="50"/>
      <c r="K300" s="105" t="b">
        <v>0</v>
      </c>
    </row>
  </sheetData>
  <mergeCells count="301">
    <mergeCell ref="A1:K1"/>
    <mergeCell ref="A2:C3"/>
    <mergeCell ref="D2:D3"/>
    <mergeCell ref="E2:J2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94:C294"/>
    <mergeCell ref="A295:C295"/>
    <mergeCell ref="A296:C296"/>
    <mergeCell ref="A297:C297"/>
    <mergeCell ref="A298:C298"/>
    <mergeCell ref="A299:C299"/>
    <mergeCell ref="A300:C300"/>
    <mergeCell ref="A287:C287"/>
    <mergeCell ref="A288:C288"/>
    <mergeCell ref="A289:C289"/>
    <mergeCell ref="A290:C290"/>
    <mergeCell ref="A291:C291"/>
    <mergeCell ref="A292:C292"/>
    <mergeCell ref="A293:C293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</mergeCells>
  <conditionalFormatting sqref="E35:J35 G64:G66 E65:F66 H65:J66 E95:J96 E102:J103">
    <cfRule type="expression" dxfId="1" priority="1">
      <formula>$L35=TRUE</formula>
    </cfRule>
  </conditionalFormatting>
  <conditionalFormatting sqref="D4:D300">
    <cfRule type="expression" dxfId="11" priority="2">
      <formula>K4=TRUE</formula>
    </cfRule>
  </conditionalFormatting>
  <conditionalFormatting sqref="D4:D300">
    <cfRule type="cellIs" dxfId="12" priority="3" operator="lessThanOrEqual">
      <formula>TODAY()+0</formula>
    </cfRule>
  </conditionalFormatting>
  <conditionalFormatting sqref="D4:D300">
    <cfRule type="cellIs" dxfId="13" priority="4" operator="lessThanOrEqual">
      <formula>TODAY()+3</formula>
    </cfRule>
  </conditionalFormatting>
  <conditionalFormatting sqref="A4:C300 E4:J300">
    <cfRule type="expression" dxfId="11" priority="5">
      <formula>$K4=TRUE</formula>
    </cfRule>
  </conditionalFormatting>
  <conditionalFormatting sqref="E4:J300">
    <cfRule type="containsBlanks" dxfId="9" priority="6">
      <formula>LEN(TRIM(E4))=0</formula>
    </cfRule>
  </conditionalFormatting>
  <drawing r:id="rId1"/>
</worksheet>
</file>