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Unidades compartidas\LISTAS VNNOX\LISTAS VNNOX\Calculo de rentabilidad\"/>
    </mc:Choice>
  </mc:AlternateContent>
  <xr:revisionPtr revIDLastSave="0" documentId="13_ncr:1_{E242D0E7-9491-4723-B669-4D7020CE9495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RENTABILIDAD 2026" sheetId="1" r:id="rId1"/>
    <sheet name="Copia de RENTABILIDAD 2026" sheetId="2" r:id="rId2"/>
  </sheets>
  <calcPr calcId="191029" iterateDelta="1E-4" fullCalcOnLoad="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Y202" i="2" l="1"/>
  <c r="X202" i="2" s="1"/>
  <c r="W202" i="2"/>
  <c r="V202" i="2"/>
  <c r="U202" i="2"/>
  <c r="S202" i="2"/>
  <c r="R202" i="2"/>
  <c r="Q202" i="2"/>
  <c r="P202" i="2"/>
  <c r="O202" i="2"/>
  <c r="N202" i="2"/>
  <c r="M202" i="2"/>
  <c r="L202" i="2"/>
  <c r="K202" i="2"/>
  <c r="J202" i="2"/>
  <c r="F202" i="2"/>
  <c r="I202" i="2" s="1"/>
  <c r="Y201" i="2"/>
  <c r="X201" i="2"/>
  <c r="W201" i="2"/>
  <c r="V201" i="2" s="1"/>
  <c r="U201" i="2"/>
  <c r="S201" i="2"/>
  <c r="R201" i="2"/>
  <c r="Q201" i="2"/>
  <c r="P201" i="2"/>
  <c r="O201" i="2"/>
  <c r="N201" i="2"/>
  <c r="M201" i="2"/>
  <c r="L201" i="2" s="1"/>
  <c r="K201" i="2"/>
  <c r="J201" i="2"/>
  <c r="F201" i="2"/>
  <c r="I201" i="2" s="1"/>
  <c r="Y200" i="2"/>
  <c r="X200" i="2"/>
  <c r="W200" i="2"/>
  <c r="V200" i="2"/>
  <c r="U200" i="2"/>
  <c r="S200" i="2"/>
  <c r="R200" i="2" s="1"/>
  <c r="Q200" i="2"/>
  <c r="P200" i="2"/>
  <c r="O200" i="2"/>
  <c r="N200" i="2"/>
  <c r="M200" i="2"/>
  <c r="L200" i="2"/>
  <c r="K200" i="2"/>
  <c r="J200" i="2"/>
  <c r="F200" i="2"/>
  <c r="I200" i="2" s="1"/>
  <c r="Y199" i="2"/>
  <c r="X199" i="2" s="1"/>
  <c r="W199" i="2"/>
  <c r="V199" i="2" s="1"/>
  <c r="U199" i="2"/>
  <c r="S199" i="2"/>
  <c r="R199" i="2"/>
  <c r="Q199" i="2"/>
  <c r="P199" i="2" s="1"/>
  <c r="O199" i="2"/>
  <c r="N199" i="2" s="1"/>
  <c r="M199" i="2"/>
  <c r="L199" i="2"/>
  <c r="K199" i="2"/>
  <c r="J199" i="2"/>
  <c r="F199" i="2"/>
  <c r="I199" i="2" s="1"/>
  <c r="Y198" i="2"/>
  <c r="X198" i="2"/>
  <c r="W198" i="2"/>
  <c r="V198" i="2"/>
  <c r="U198" i="2"/>
  <c r="S198" i="2"/>
  <c r="R198" i="2"/>
  <c r="Q198" i="2"/>
  <c r="P198" i="2"/>
  <c r="O198" i="2"/>
  <c r="N198" i="2"/>
  <c r="M198" i="2"/>
  <c r="L198" i="2"/>
  <c r="K198" i="2"/>
  <c r="J198" i="2"/>
  <c r="I198" i="2"/>
  <c r="F198" i="2"/>
  <c r="Y197" i="2"/>
  <c r="X197" i="2" s="1"/>
  <c r="W197" i="2"/>
  <c r="V197" i="2"/>
  <c r="U197" i="2"/>
  <c r="S197" i="2"/>
  <c r="R197" i="2"/>
  <c r="Q197" i="2"/>
  <c r="P197" i="2" s="1"/>
  <c r="O197" i="2"/>
  <c r="N197" i="2" s="1"/>
  <c r="M197" i="2"/>
  <c r="L197" i="2"/>
  <c r="K197" i="2"/>
  <c r="J197" i="2"/>
  <c r="F197" i="2"/>
  <c r="I197" i="2" s="1"/>
  <c r="Y196" i="2"/>
  <c r="X196" i="2"/>
  <c r="W196" i="2"/>
  <c r="V196" i="2"/>
  <c r="U196" i="2"/>
  <c r="S196" i="2"/>
  <c r="R196" i="2"/>
  <c r="Q196" i="2"/>
  <c r="P196" i="2" s="1"/>
  <c r="O196" i="2"/>
  <c r="N196" i="2"/>
  <c r="M196" i="2"/>
  <c r="L196" i="2" s="1"/>
  <c r="K196" i="2"/>
  <c r="J196" i="2" s="1"/>
  <c r="I196" i="2"/>
  <c r="F196" i="2"/>
  <c r="Y195" i="2"/>
  <c r="X195" i="2"/>
  <c r="W195" i="2"/>
  <c r="V195" i="2"/>
  <c r="U195" i="2"/>
  <c r="S195" i="2"/>
  <c r="R195" i="2" s="1"/>
  <c r="Q195" i="2"/>
  <c r="P195" i="2"/>
  <c r="O195" i="2"/>
  <c r="N195" i="2"/>
  <c r="M195" i="2"/>
  <c r="L195" i="2"/>
  <c r="K195" i="2"/>
  <c r="J195" i="2"/>
  <c r="F195" i="2"/>
  <c r="I195" i="2" s="1"/>
  <c r="Y194" i="2"/>
  <c r="X194" i="2"/>
  <c r="W194" i="2"/>
  <c r="V194" i="2" s="1"/>
  <c r="U194" i="2"/>
  <c r="S194" i="2"/>
  <c r="R194" i="2" s="1"/>
  <c r="Q194" i="2"/>
  <c r="P194" i="2"/>
  <c r="O194" i="2"/>
  <c r="N194" i="2" s="1"/>
  <c r="M194" i="2"/>
  <c r="L194" i="2" s="1"/>
  <c r="K194" i="2"/>
  <c r="J194" i="2"/>
  <c r="F194" i="2"/>
  <c r="I194" i="2" s="1"/>
  <c r="Y193" i="2"/>
  <c r="X193" i="2"/>
  <c r="W193" i="2"/>
  <c r="V193" i="2"/>
  <c r="U193" i="2"/>
  <c r="S193" i="2"/>
  <c r="R193" i="2"/>
  <c r="Q193" i="2"/>
  <c r="P193" i="2"/>
  <c r="O193" i="2"/>
  <c r="N193" i="2"/>
  <c r="M193" i="2"/>
  <c r="L193" i="2"/>
  <c r="K193" i="2"/>
  <c r="J193" i="2"/>
  <c r="I193" i="2"/>
  <c r="F193" i="2"/>
  <c r="Y192" i="2"/>
  <c r="X192" i="2" s="1"/>
  <c r="W192" i="2"/>
  <c r="V192" i="2"/>
  <c r="U192" i="2"/>
  <c r="S192" i="2"/>
  <c r="R192" i="2" s="1"/>
  <c r="Q192" i="2"/>
  <c r="P192" i="2"/>
  <c r="O192" i="2"/>
  <c r="N192" i="2" s="1"/>
  <c r="M192" i="2"/>
  <c r="L192" i="2"/>
  <c r="K192" i="2"/>
  <c r="J192" i="2" s="1"/>
  <c r="F192" i="2"/>
  <c r="I192" i="2" s="1"/>
  <c r="Y191" i="2"/>
  <c r="X191" i="2" s="1"/>
  <c r="W191" i="2"/>
  <c r="V191" i="2"/>
  <c r="U191" i="2"/>
  <c r="S191" i="2"/>
  <c r="R191" i="2"/>
  <c r="Q191" i="2"/>
  <c r="O191" i="2"/>
  <c r="N191" i="2"/>
  <c r="M191" i="2"/>
  <c r="L191" i="2"/>
  <c r="K191" i="2"/>
  <c r="J191" i="2"/>
  <c r="I191" i="2"/>
  <c r="P191" i="2" s="1"/>
  <c r="F191" i="2"/>
  <c r="Y190" i="2"/>
  <c r="X190" i="2"/>
  <c r="W190" i="2"/>
  <c r="V190" i="2"/>
  <c r="U190" i="2"/>
  <c r="S190" i="2"/>
  <c r="Q190" i="2"/>
  <c r="P190" i="2" s="1"/>
  <c r="O190" i="2"/>
  <c r="N190" i="2" s="1"/>
  <c r="M190" i="2"/>
  <c r="K190" i="2"/>
  <c r="J190" i="2" s="1"/>
  <c r="F190" i="2"/>
  <c r="I190" i="2" s="1"/>
  <c r="R190" i="2" s="1"/>
  <c r="Y189" i="2"/>
  <c r="X189" i="2"/>
  <c r="W189" i="2"/>
  <c r="V189" i="2" s="1"/>
  <c r="U189" i="2"/>
  <c r="S189" i="2"/>
  <c r="R189" i="2"/>
  <c r="Q189" i="2"/>
  <c r="O189" i="2"/>
  <c r="M189" i="2"/>
  <c r="K189" i="2"/>
  <c r="J189" i="2" s="1"/>
  <c r="F189" i="2"/>
  <c r="I189" i="2" s="1"/>
  <c r="Y188" i="2"/>
  <c r="X188" i="2"/>
  <c r="W188" i="2"/>
  <c r="V188" i="2" s="1"/>
  <c r="U188" i="2"/>
  <c r="S188" i="2"/>
  <c r="R188" i="2" s="1"/>
  <c r="Q188" i="2"/>
  <c r="P188" i="2"/>
  <c r="O188" i="2"/>
  <c r="N188" i="2"/>
  <c r="M188" i="2"/>
  <c r="L188" i="2"/>
  <c r="K188" i="2"/>
  <c r="J188" i="2" s="1"/>
  <c r="F188" i="2"/>
  <c r="I188" i="2" s="1"/>
  <c r="Y187" i="2"/>
  <c r="X187" i="2" s="1"/>
  <c r="W187" i="2"/>
  <c r="V187" i="2" s="1"/>
  <c r="U187" i="2"/>
  <c r="S187" i="2"/>
  <c r="Q187" i="2"/>
  <c r="P187" i="2"/>
  <c r="O187" i="2"/>
  <c r="N187" i="2"/>
  <c r="M187" i="2"/>
  <c r="L187" i="2" s="1"/>
  <c r="K187" i="2"/>
  <c r="J187" i="2" s="1"/>
  <c r="F187" i="2"/>
  <c r="I187" i="2" s="1"/>
  <c r="R187" i="2" s="1"/>
  <c r="Y186" i="2"/>
  <c r="X186" i="2" s="1"/>
  <c r="W186" i="2"/>
  <c r="V186" i="2"/>
  <c r="U186" i="2"/>
  <c r="S186" i="2"/>
  <c r="R186" i="2"/>
  <c r="Q186" i="2"/>
  <c r="O186" i="2"/>
  <c r="N186" i="2"/>
  <c r="M186" i="2"/>
  <c r="L186" i="2"/>
  <c r="K186" i="2"/>
  <c r="J186" i="2"/>
  <c r="I186" i="2"/>
  <c r="F186" i="2"/>
  <c r="Y185" i="2"/>
  <c r="X185" i="2" s="1"/>
  <c r="W185" i="2"/>
  <c r="V185" i="2" s="1"/>
  <c r="U185" i="2"/>
  <c r="S185" i="2"/>
  <c r="R185" i="2"/>
  <c r="Q185" i="2"/>
  <c r="P185" i="2"/>
  <c r="O185" i="2"/>
  <c r="N185" i="2" s="1"/>
  <c r="M185" i="2"/>
  <c r="L185" i="2"/>
  <c r="K185" i="2"/>
  <c r="J185" i="2"/>
  <c r="I185" i="2"/>
  <c r="F185" i="2"/>
  <c r="Y184" i="2"/>
  <c r="X184" i="2" s="1"/>
  <c r="W184" i="2"/>
  <c r="V184" i="2"/>
  <c r="U184" i="2"/>
  <c r="S184" i="2"/>
  <c r="R184" i="2" s="1"/>
  <c r="Q184" i="2"/>
  <c r="P184" i="2"/>
  <c r="O184" i="2"/>
  <c r="N184" i="2" s="1"/>
  <c r="M184" i="2"/>
  <c r="L184" i="2"/>
  <c r="K184" i="2"/>
  <c r="J184" i="2" s="1"/>
  <c r="I184" i="2"/>
  <c r="F184" i="2"/>
  <c r="Y183" i="2"/>
  <c r="X183" i="2" s="1"/>
  <c r="W183" i="2"/>
  <c r="V183" i="2" s="1"/>
  <c r="U183" i="2"/>
  <c r="S183" i="2"/>
  <c r="R183" i="2"/>
  <c r="Q183" i="2"/>
  <c r="P183" i="2" s="1"/>
  <c r="O183" i="2"/>
  <c r="M183" i="2"/>
  <c r="L183" i="2"/>
  <c r="K183" i="2"/>
  <c r="J183" i="2"/>
  <c r="I183" i="2"/>
  <c r="N183" i="2" s="1"/>
  <c r="F183" i="2"/>
  <c r="Y182" i="2"/>
  <c r="X182" i="2"/>
  <c r="W182" i="2"/>
  <c r="V182" i="2"/>
  <c r="U182" i="2"/>
  <c r="S182" i="2"/>
  <c r="R182" i="2" s="1"/>
  <c r="Q182" i="2"/>
  <c r="P182" i="2"/>
  <c r="O182" i="2"/>
  <c r="N182" i="2"/>
  <c r="M182" i="2"/>
  <c r="L182" i="2" s="1"/>
  <c r="K182" i="2"/>
  <c r="J182" i="2" s="1"/>
  <c r="I182" i="2"/>
  <c r="F182" i="2"/>
  <c r="Y181" i="2"/>
  <c r="X181" i="2"/>
  <c r="W181" i="2"/>
  <c r="V181" i="2"/>
  <c r="U181" i="2"/>
  <c r="S181" i="2"/>
  <c r="R181" i="2" s="1"/>
  <c r="Q181" i="2"/>
  <c r="P181" i="2" s="1"/>
  <c r="O181" i="2"/>
  <c r="N181" i="2"/>
  <c r="M181" i="2"/>
  <c r="L181" i="2"/>
  <c r="K181" i="2"/>
  <c r="F181" i="2"/>
  <c r="I181" i="2" s="1"/>
  <c r="Y180" i="2"/>
  <c r="X180" i="2" s="1"/>
  <c r="W180" i="2"/>
  <c r="V180" i="2"/>
  <c r="U180" i="2"/>
  <c r="S180" i="2"/>
  <c r="R180" i="2"/>
  <c r="Q180" i="2"/>
  <c r="P180" i="2"/>
  <c r="O180" i="2"/>
  <c r="N180" i="2" s="1"/>
  <c r="M180" i="2"/>
  <c r="K180" i="2"/>
  <c r="J180" i="2" s="1"/>
  <c r="I180" i="2"/>
  <c r="F180" i="2"/>
  <c r="Y179" i="2"/>
  <c r="X179" i="2" s="1"/>
  <c r="W179" i="2"/>
  <c r="V179" i="2" s="1"/>
  <c r="U179" i="2"/>
  <c r="S179" i="2"/>
  <c r="R179" i="2"/>
  <c r="Q179" i="2"/>
  <c r="O179" i="2"/>
  <c r="N179" i="2" s="1"/>
  <c r="M179" i="2"/>
  <c r="L179" i="2"/>
  <c r="K179" i="2"/>
  <c r="J179" i="2"/>
  <c r="F179" i="2"/>
  <c r="I179" i="2" s="1"/>
  <c r="P179" i="2" s="1"/>
  <c r="Y178" i="2"/>
  <c r="X178" i="2" s="1"/>
  <c r="W178" i="2"/>
  <c r="V178" i="2" s="1"/>
  <c r="U178" i="2"/>
  <c r="S178" i="2"/>
  <c r="R178" i="2"/>
  <c r="Q178" i="2"/>
  <c r="P178" i="2" s="1"/>
  <c r="O178" i="2"/>
  <c r="N178" i="2" s="1"/>
  <c r="M178" i="2"/>
  <c r="L178" i="2" s="1"/>
  <c r="K178" i="2"/>
  <c r="F178" i="2"/>
  <c r="I178" i="2" s="1"/>
  <c r="J178" i="2" s="1"/>
  <c r="Y177" i="2"/>
  <c r="X177" i="2"/>
  <c r="W177" i="2"/>
  <c r="V177" i="2" s="1"/>
  <c r="U177" i="2"/>
  <c r="S177" i="2"/>
  <c r="Q177" i="2"/>
  <c r="P177" i="2"/>
  <c r="O177" i="2"/>
  <c r="M177" i="2"/>
  <c r="L177" i="2"/>
  <c r="K177" i="2"/>
  <c r="J177" i="2"/>
  <c r="F177" i="2"/>
  <c r="I177" i="2" s="1"/>
  <c r="Y176" i="2"/>
  <c r="X176" i="2"/>
  <c r="W176" i="2"/>
  <c r="V176" i="2" s="1"/>
  <c r="U176" i="2"/>
  <c r="S176" i="2"/>
  <c r="Q176" i="2"/>
  <c r="P176" i="2" s="1"/>
  <c r="O176" i="2"/>
  <c r="N176" i="2" s="1"/>
  <c r="M176" i="2"/>
  <c r="K176" i="2"/>
  <c r="F176" i="2"/>
  <c r="I176" i="2" s="1"/>
  <c r="Y175" i="2"/>
  <c r="X175" i="2"/>
  <c r="W175" i="2"/>
  <c r="V175" i="2"/>
  <c r="U175" i="2"/>
  <c r="S175" i="2"/>
  <c r="R175" i="2" s="1"/>
  <c r="Q175" i="2"/>
  <c r="P175" i="2"/>
  <c r="O175" i="2"/>
  <c r="N175" i="2"/>
  <c r="M175" i="2"/>
  <c r="L175" i="2"/>
  <c r="K175" i="2"/>
  <c r="J175" i="2"/>
  <c r="F175" i="2"/>
  <c r="I175" i="2" s="1"/>
  <c r="Y174" i="2"/>
  <c r="X174" i="2" s="1"/>
  <c r="W174" i="2"/>
  <c r="V174" i="2"/>
  <c r="U174" i="2"/>
  <c r="S174" i="2"/>
  <c r="R174" i="2" s="1"/>
  <c r="Q174" i="2"/>
  <c r="O174" i="2"/>
  <c r="N174" i="2"/>
  <c r="M174" i="2"/>
  <c r="L174" i="2" s="1"/>
  <c r="K174" i="2"/>
  <c r="F174" i="2"/>
  <c r="I174" i="2" s="1"/>
  <c r="J174" i="2" s="1"/>
  <c r="Y173" i="2"/>
  <c r="X173" i="2"/>
  <c r="W173" i="2"/>
  <c r="V173" i="2" s="1"/>
  <c r="U173" i="2"/>
  <c r="S173" i="2"/>
  <c r="R173" i="2"/>
  <c r="Q173" i="2"/>
  <c r="O173" i="2"/>
  <c r="N173" i="2" s="1"/>
  <c r="M173" i="2"/>
  <c r="L173" i="2"/>
  <c r="K173" i="2"/>
  <c r="J173" i="2"/>
  <c r="I173" i="2"/>
  <c r="P173" i="2" s="1"/>
  <c r="F173" i="2"/>
  <c r="Y172" i="2"/>
  <c r="X172" i="2"/>
  <c r="W172" i="2"/>
  <c r="V172" i="2"/>
  <c r="U172" i="2"/>
  <c r="S172" i="2"/>
  <c r="Q172" i="2"/>
  <c r="O172" i="2"/>
  <c r="N172" i="2" s="1"/>
  <c r="M172" i="2"/>
  <c r="L172" i="2"/>
  <c r="K172" i="2"/>
  <c r="J172" i="2"/>
  <c r="I172" i="2"/>
  <c r="F172" i="2"/>
  <c r="Y171" i="2"/>
  <c r="X171" i="2"/>
  <c r="W171" i="2"/>
  <c r="V171" i="2"/>
  <c r="U171" i="2"/>
  <c r="S171" i="2"/>
  <c r="R171" i="2"/>
  <c r="Q171" i="2"/>
  <c r="P171" i="2"/>
  <c r="O171" i="2"/>
  <c r="N171" i="2" s="1"/>
  <c r="M171" i="2"/>
  <c r="K171" i="2"/>
  <c r="J171" i="2" s="1"/>
  <c r="I171" i="2"/>
  <c r="L171" i="2" s="1"/>
  <c r="F171" i="2"/>
  <c r="Y170" i="2"/>
  <c r="W170" i="2"/>
  <c r="V170" i="2"/>
  <c r="U170" i="2"/>
  <c r="S170" i="2"/>
  <c r="R170" i="2" s="1"/>
  <c r="Q170" i="2"/>
  <c r="P170" i="2"/>
  <c r="O170" i="2"/>
  <c r="N170" i="2"/>
  <c r="M170" i="2"/>
  <c r="L170" i="2"/>
  <c r="K170" i="2"/>
  <c r="J170" i="2"/>
  <c r="F170" i="2"/>
  <c r="I170" i="2" s="1"/>
  <c r="X170" i="2" s="1"/>
  <c r="Y169" i="2"/>
  <c r="X169" i="2" s="1"/>
  <c r="W169" i="2"/>
  <c r="V169" i="2" s="1"/>
  <c r="U169" i="2"/>
  <c r="S169" i="2"/>
  <c r="R169" i="2" s="1"/>
  <c r="Q169" i="2"/>
  <c r="P169" i="2"/>
  <c r="O169" i="2"/>
  <c r="N169" i="2"/>
  <c r="M169" i="2"/>
  <c r="L169" i="2" s="1"/>
  <c r="K169" i="2"/>
  <c r="J169" i="2" s="1"/>
  <c r="F169" i="2"/>
  <c r="I169" i="2" s="1"/>
  <c r="Y168" i="2"/>
  <c r="X168" i="2"/>
  <c r="W168" i="2"/>
  <c r="V168" i="2"/>
  <c r="U168" i="2"/>
  <c r="S168" i="2"/>
  <c r="R168" i="2"/>
  <c r="Q168" i="2"/>
  <c r="O168" i="2"/>
  <c r="M168" i="2"/>
  <c r="L168" i="2"/>
  <c r="K168" i="2"/>
  <c r="J168" i="2"/>
  <c r="F168" i="2"/>
  <c r="I168" i="2" s="1"/>
  <c r="Y167" i="2"/>
  <c r="X167" i="2" s="1"/>
  <c r="W167" i="2"/>
  <c r="V167" i="2" s="1"/>
  <c r="U167" i="2"/>
  <c r="S167" i="2"/>
  <c r="R167" i="2"/>
  <c r="Q167" i="2"/>
  <c r="P167" i="2"/>
  <c r="O167" i="2"/>
  <c r="N167" i="2" s="1"/>
  <c r="M167" i="2"/>
  <c r="L167" i="2" s="1"/>
  <c r="K167" i="2"/>
  <c r="J167" i="2"/>
  <c r="F167" i="2"/>
  <c r="I167" i="2" s="1"/>
  <c r="Y166" i="2"/>
  <c r="X166" i="2"/>
  <c r="W166" i="2"/>
  <c r="V166" i="2"/>
  <c r="U166" i="2"/>
  <c r="S166" i="2"/>
  <c r="R166" i="2"/>
  <c r="Q166" i="2"/>
  <c r="P166" i="2" s="1"/>
  <c r="O166" i="2"/>
  <c r="N166" i="2"/>
  <c r="M166" i="2"/>
  <c r="L166" i="2"/>
  <c r="K166" i="2"/>
  <c r="J166" i="2"/>
  <c r="I166" i="2"/>
  <c r="F166" i="2"/>
  <c r="Y165" i="2"/>
  <c r="X165" i="2" s="1"/>
  <c r="W165" i="2"/>
  <c r="V165" i="2" s="1"/>
  <c r="U165" i="2"/>
  <c r="S165" i="2"/>
  <c r="R165" i="2"/>
  <c r="Q165" i="2"/>
  <c r="P165" i="2" s="1"/>
  <c r="O165" i="2"/>
  <c r="N165" i="2"/>
  <c r="M165" i="2"/>
  <c r="L165" i="2"/>
  <c r="K165" i="2"/>
  <c r="J165" i="2"/>
  <c r="F165" i="2"/>
  <c r="I165" i="2" s="1"/>
  <c r="Y164" i="2"/>
  <c r="X164" i="2"/>
  <c r="W164" i="2"/>
  <c r="V164" i="2" s="1"/>
  <c r="U164" i="2"/>
  <c r="S164" i="2"/>
  <c r="R164" i="2"/>
  <c r="Q164" i="2"/>
  <c r="P164" i="2" s="1"/>
  <c r="O164" i="2"/>
  <c r="N164" i="2"/>
  <c r="M164" i="2"/>
  <c r="L164" i="2" s="1"/>
  <c r="K164" i="2"/>
  <c r="J164" i="2" s="1"/>
  <c r="I164" i="2"/>
  <c r="F164" i="2"/>
  <c r="Y163" i="2"/>
  <c r="X163" i="2"/>
  <c r="W163" i="2"/>
  <c r="V163" i="2"/>
  <c r="U163" i="2"/>
  <c r="S163" i="2"/>
  <c r="R163" i="2" s="1"/>
  <c r="Q163" i="2"/>
  <c r="P163" i="2"/>
  <c r="O163" i="2"/>
  <c r="N163" i="2"/>
  <c r="M163" i="2"/>
  <c r="L163" i="2"/>
  <c r="K163" i="2"/>
  <c r="F163" i="2"/>
  <c r="I163" i="2" s="1"/>
  <c r="J163" i="2" s="1"/>
  <c r="Y162" i="2"/>
  <c r="X162" i="2" s="1"/>
  <c r="W162" i="2"/>
  <c r="V162" i="2" s="1"/>
  <c r="U162" i="2"/>
  <c r="S162" i="2"/>
  <c r="R162" i="2"/>
  <c r="Q162" i="2"/>
  <c r="P162" i="2" s="1"/>
  <c r="O162" i="2"/>
  <c r="N162" i="2"/>
  <c r="M162" i="2"/>
  <c r="L162" i="2" s="1"/>
  <c r="K162" i="2"/>
  <c r="J162" i="2" s="1"/>
  <c r="F162" i="2"/>
  <c r="I162" i="2" s="1"/>
  <c r="Y161" i="2"/>
  <c r="X161" i="2"/>
  <c r="W161" i="2"/>
  <c r="V161" i="2"/>
  <c r="U161" i="2"/>
  <c r="S161" i="2"/>
  <c r="Q161" i="2"/>
  <c r="P161" i="2"/>
  <c r="O161" i="2"/>
  <c r="N161" i="2"/>
  <c r="M161" i="2"/>
  <c r="K161" i="2"/>
  <c r="J161" i="2"/>
  <c r="F161" i="2"/>
  <c r="I161" i="2" s="1"/>
  <c r="Y160" i="2"/>
  <c r="X160" i="2" s="1"/>
  <c r="W160" i="2"/>
  <c r="V160" i="2" s="1"/>
  <c r="U160" i="2"/>
  <c r="S160" i="2"/>
  <c r="R160" i="2"/>
  <c r="Q160" i="2"/>
  <c r="P160" i="2" s="1"/>
  <c r="O160" i="2"/>
  <c r="N160" i="2" s="1"/>
  <c r="M160" i="2"/>
  <c r="L160" i="2"/>
  <c r="K160" i="2"/>
  <c r="J160" i="2"/>
  <c r="F160" i="2"/>
  <c r="Y159" i="2"/>
  <c r="X159" i="2" s="1"/>
  <c r="W159" i="2"/>
  <c r="U159" i="2"/>
  <c r="S159" i="2"/>
  <c r="R159" i="2" s="1"/>
  <c r="Q159" i="2"/>
  <c r="P159" i="2" s="1"/>
  <c r="O159" i="2"/>
  <c r="N159" i="2" s="1"/>
  <c r="M159" i="2"/>
  <c r="K159" i="2"/>
  <c r="J159" i="2"/>
  <c r="F159" i="2"/>
  <c r="I159" i="2" s="1"/>
  <c r="Y158" i="2"/>
  <c r="X158" i="2"/>
  <c r="W158" i="2"/>
  <c r="V158" i="2"/>
  <c r="U158" i="2"/>
  <c r="S158" i="2"/>
  <c r="R158" i="2"/>
  <c r="Q158" i="2"/>
  <c r="O158" i="2"/>
  <c r="M158" i="2"/>
  <c r="K158" i="2"/>
  <c r="J158" i="2"/>
  <c r="F158" i="2"/>
  <c r="I158" i="2" s="1"/>
  <c r="N158" i="2" s="1"/>
  <c r="Y157" i="2"/>
  <c r="X157" i="2" s="1"/>
  <c r="W157" i="2"/>
  <c r="U157" i="2"/>
  <c r="T157" i="2"/>
  <c r="S157" i="2"/>
  <c r="Q157" i="2"/>
  <c r="P157" i="2"/>
  <c r="O157" i="2"/>
  <c r="M157" i="2"/>
  <c r="K157" i="2"/>
  <c r="J157" i="2" s="1"/>
  <c r="F157" i="2"/>
  <c r="I157" i="2" s="1"/>
  <c r="Y156" i="2"/>
  <c r="X156" i="2"/>
  <c r="W156" i="2"/>
  <c r="V156" i="2"/>
  <c r="U156" i="2"/>
  <c r="T156" i="2"/>
  <c r="S156" i="2"/>
  <c r="R156" i="2"/>
  <c r="Q156" i="2"/>
  <c r="P156" i="2" s="1"/>
  <c r="O156" i="2"/>
  <c r="M156" i="2"/>
  <c r="L156" i="2"/>
  <c r="K156" i="2"/>
  <c r="J156" i="2" s="1"/>
  <c r="F156" i="2"/>
  <c r="I156" i="2" s="1"/>
  <c r="N156" i="2" s="1"/>
  <c r="Y155" i="2"/>
  <c r="X155" i="2"/>
  <c r="W155" i="2"/>
  <c r="V155" i="2"/>
  <c r="U155" i="2"/>
  <c r="T155" i="2"/>
  <c r="S155" i="2"/>
  <c r="Q155" i="2"/>
  <c r="O155" i="2"/>
  <c r="M155" i="2"/>
  <c r="L155" i="2"/>
  <c r="K155" i="2"/>
  <c r="I155" i="2"/>
  <c r="F155" i="2"/>
  <c r="Y154" i="2"/>
  <c r="X154" i="2"/>
  <c r="W154" i="2"/>
  <c r="V154" i="2"/>
  <c r="U154" i="2"/>
  <c r="T154" i="2"/>
  <c r="S154" i="2"/>
  <c r="R154" i="2" s="1"/>
  <c r="Q154" i="2"/>
  <c r="P154" i="2"/>
  <c r="O154" i="2"/>
  <c r="N154" i="2" s="1"/>
  <c r="M154" i="2"/>
  <c r="L154" i="2"/>
  <c r="K154" i="2"/>
  <c r="J154" i="2"/>
  <c r="F154" i="2"/>
  <c r="I154" i="2" s="1"/>
  <c r="Y153" i="2"/>
  <c r="X153" i="2"/>
  <c r="W153" i="2"/>
  <c r="V153" i="2"/>
  <c r="U153" i="2"/>
  <c r="T153" i="2"/>
  <c r="S153" i="2"/>
  <c r="R153" i="2"/>
  <c r="Q153" i="2"/>
  <c r="P153" i="2"/>
  <c r="O153" i="2"/>
  <c r="N153" i="2" s="1"/>
  <c r="M153" i="2"/>
  <c r="L153" i="2" s="1"/>
  <c r="K153" i="2"/>
  <c r="J153" i="2"/>
  <c r="F153" i="2"/>
  <c r="I153" i="2" s="1"/>
  <c r="Y152" i="2"/>
  <c r="W152" i="2"/>
  <c r="V152" i="2"/>
  <c r="U152" i="2"/>
  <c r="T152" i="2" s="1"/>
  <c r="S152" i="2"/>
  <c r="R152" i="2" s="1"/>
  <c r="Q152" i="2"/>
  <c r="P152" i="2"/>
  <c r="O152" i="2"/>
  <c r="N152" i="2"/>
  <c r="M152" i="2"/>
  <c r="L152" i="2"/>
  <c r="K152" i="2"/>
  <c r="J152" i="2"/>
  <c r="I152" i="2"/>
  <c r="X152" i="2" s="1"/>
  <c r="F152" i="2"/>
  <c r="Y151" i="2"/>
  <c r="X151" i="2"/>
  <c r="W151" i="2"/>
  <c r="V151" i="2"/>
  <c r="U151" i="2"/>
  <c r="S151" i="2"/>
  <c r="Q151" i="2"/>
  <c r="O151" i="2"/>
  <c r="N151" i="2" s="1"/>
  <c r="M151" i="2"/>
  <c r="L151" i="2"/>
  <c r="K151" i="2"/>
  <c r="J151" i="2" s="1"/>
  <c r="I151" i="2"/>
  <c r="F151" i="2"/>
  <c r="Y150" i="2"/>
  <c r="X150" i="2"/>
  <c r="W150" i="2"/>
  <c r="V150" i="2" s="1"/>
  <c r="U150" i="2"/>
  <c r="T150" i="2"/>
  <c r="S150" i="2"/>
  <c r="Q150" i="2"/>
  <c r="O150" i="2"/>
  <c r="N150" i="2"/>
  <c r="M150" i="2"/>
  <c r="L150" i="2"/>
  <c r="K150" i="2"/>
  <c r="F150" i="2"/>
  <c r="I150" i="2" s="1"/>
  <c r="Y149" i="2"/>
  <c r="X149" i="2" s="1"/>
  <c r="W149" i="2"/>
  <c r="V149" i="2"/>
  <c r="U149" i="2"/>
  <c r="S149" i="2"/>
  <c r="Q149" i="2"/>
  <c r="O149" i="2"/>
  <c r="M149" i="2"/>
  <c r="L149" i="2"/>
  <c r="K149" i="2"/>
  <c r="J149" i="2"/>
  <c r="I149" i="2"/>
  <c r="F149" i="2"/>
  <c r="Y148" i="2"/>
  <c r="X148" i="2"/>
  <c r="W148" i="2"/>
  <c r="V148" i="2"/>
  <c r="U148" i="2"/>
  <c r="T148" i="2"/>
  <c r="S148" i="2"/>
  <c r="Q148" i="2"/>
  <c r="O148" i="2"/>
  <c r="N148" i="2" s="1"/>
  <c r="M148" i="2"/>
  <c r="L148" i="2"/>
  <c r="K148" i="2"/>
  <c r="J148" i="2" s="1"/>
  <c r="F148" i="2"/>
  <c r="I148" i="2" s="1"/>
  <c r="Y147" i="2"/>
  <c r="X147" i="2" s="1"/>
  <c r="W147" i="2"/>
  <c r="V147" i="2"/>
  <c r="U147" i="2"/>
  <c r="S147" i="2"/>
  <c r="R147" i="2"/>
  <c r="Q147" i="2"/>
  <c r="O147" i="2"/>
  <c r="N147" i="2"/>
  <c r="M147" i="2"/>
  <c r="K147" i="2"/>
  <c r="F147" i="2"/>
  <c r="I147" i="2" s="1"/>
  <c r="T147" i="2" s="1"/>
  <c r="Y146" i="2"/>
  <c r="W146" i="2"/>
  <c r="V146" i="2" s="1"/>
  <c r="U146" i="2"/>
  <c r="T146" i="2"/>
  <c r="S146" i="2"/>
  <c r="R146" i="2"/>
  <c r="Q146" i="2"/>
  <c r="P146" i="2"/>
  <c r="O146" i="2"/>
  <c r="N146" i="2" s="1"/>
  <c r="M146" i="2"/>
  <c r="L146" i="2" s="1"/>
  <c r="K146" i="2"/>
  <c r="F146" i="2"/>
  <c r="I146" i="2" s="1"/>
  <c r="Y145" i="2"/>
  <c r="X145" i="2" s="1"/>
  <c r="W145" i="2"/>
  <c r="V145" i="2"/>
  <c r="U145" i="2"/>
  <c r="T145" i="2"/>
  <c r="S145" i="2"/>
  <c r="R145" i="2"/>
  <c r="Q145" i="2"/>
  <c r="P145" i="2" s="1"/>
  <c r="O145" i="2"/>
  <c r="N145" i="2"/>
  <c r="M145" i="2"/>
  <c r="L145" i="2" s="1"/>
  <c r="K145" i="2"/>
  <c r="J145" i="2" s="1"/>
  <c r="I145" i="2"/>
  <c r="F145" i="2"/>
  <c r="Y144" i="2"/>
  <c r="X144" i="2" s="1"/>
  <c r="W144" i="2"/>
  <c r="V144" i="2"/>
  <c r="U144" i="2"/>
  <c r="T144" i="2"/>
  <c r="S144" i="2"/>
  <c r="R144" i="2"/>
  <c r="Q144" i="2"/>
  <c r="P144" i="2"/>
  <c r="O144" i="2"/>
  <c r="N144" i="2"/>
  <c r="M144" i="2"/>
  <c r="L144" i="2" s="1"/>
  <c r="K144" i="2"/>
  <c r="J144" i="2" s="1"/>
  <c r="F144" i="2"/>
  <c r="I144" i="2" s="1"/>
  <c r="Y143" i="2"/>
  <c r="X143" i="2"/>
  <c r="W143" i="2"/>
  <c r="V143" i="2"/>
  <c r="U143" i="2"/>
  <c r="T143" i="2"/>
  <c r="S143" i="2"/>
  <c r="R143" i="2"/>
  <c r="Q143" i="2"/>
  <c r="P143" i="2" s="1"/>
  <c r="O143" i="2"/>
  <c r="N143" i="2" s="1"/>
  <c r="M143" i="2"/>
  <c r="L143" i="2" s="1"/>
  <c r="K143" i="2"/>
  <c r="J143" i="2"/>
  <c r="I143" i="2"/>
  <c r="F143" i="2"/>
  <c r="Y142" i="2"/>
  <c r="X142" i="2"/>
  <c r="W142" i="2"/>
  <c r="V142" i="2" s="1"/>
  <c r="U142" i="2"/>
  <c r="T142" i="2"/>
  <c r="S142" i="2"/>
  <c r="R142" i="2"/>
  <c r="Q142" i="2"/>
  <c r="P142" i="2"/>
  <c r="O142" i="2"/>
  <c r="M142" i="2"/>
  <c r="L142" i="2"/>
  <c r="K142" i="2"/>
  <c r="J142" i="2" s="1"/>
  <c r="F142" i="2"/>
  <c r="I142" i="2" s="1"/>
  <c r="Y141" i="2"/>
  <c r="W141" i="2"/>
  <c r="V141" i="2" s="1"/>
  <c r="U141" i="2"/>
  <c r="T141" i="2"/>
  <c r="S141" i="2"/>
  <c r="R141" i="2"/>
  <c r="Q141" i="2"/>
  <c r="P141" i="2"/>
  <c r="O141" i="2"/>
  <c r="N141" i="2"/>
  <c r="M141" i="2"/>
  <c r="L141" i="2" s="1"/>
  <c r="K141" i="2"/>
  <c r="J141" i="2" s="1"/>
  <c r="F141" i="2"/>
  <c r="I141" i="2" s="1"/>
  <c r="Y140" i="2"/>
  <c r="X140" i="2"/>
  <c r="W140" i="2"/>
  <c r="V140" i="2"/>
  <c r="U140" i="2"/>
  <c r="T140" i="2"/>
  <c r="S140" i="2"/>
  <c r="R140" i="2" s="1"/>
  <c r="Q140" i="2"/>
  <c r="O140" i="2"/>
  <c r="M140" i="2"/>
  <c r="L140" i="2" s="1"/>
  <c r="K140" i="2"/>
  <c r="J140" i="2"/>
  <c r="I140" i="2"/>
  <c r="P140" i="2" s="1"/>
  <c r="F140" i="2"/>
  <c r="Y139" i="2"/>
  <c r="X139" i="2" s="1"/>
  <c r="W139" i="2"/>
  <c r="V139" i="2"/>
  <c r="U139" i="2"/>
  <c r="T139" i="2"/>
  <c r="S139" i="2"/>
  <c r="Q139" i="2"/>
  <c r="O139" i="2"/>
  <c r="N139" i="2" s="1"/>
  <c r="M139" i="2"/>
  <c r="L139" i="2"/>
  <c r="K139" i="2"/>
  <c r="J139" i="2"/>
  <c r="F139" i="2"/>
  <c r="I139" i="2" s="1"/>
  <c r="Y138" i="2"/>
  <c r="X138" i="2" s="1"/>
  <c r="W138" i="2"/>
  <c r="V138" i="2" s="1"/>
  <c r="U138" i="2"/>
  <c r="T138" i="2"/>
  <c r="S138" i="2"/>
  <c r="R138" i="2" s="1"/>
  <c r="Q138" i="2"/>
  <c r="O138" i="2"/>
  <c r="N138" i="2"/>
  <c r="M138" i="2"/>
  <c r="L138" i="2" s="1"/>
  <c r="K138" i="2"/>
  <c r="J138" i="2"/>
  <c r="F138" i="2"/>
  <c r="I138" i="2" s="1"/>
  <c r="Y137" i="2"/>
  <c r="X137" i="2"/>
  <c r="W137" i="2"/>
  <c r="V137" i="2"/>
  <c r="U137" i="2"/>
  <c r="T137" i="2" s="1"/>
  <c r="S137" i="2"/>
  <c r="R137" i="2" s="1"/>
  <c r="Q137" i="2"/>
  <c r="O137" i="2"/>
  <c r="M137" i="2"/>
  <c r="K137" i="2"/>
  <c r="J137" i="2"/>
  <c r="F137" i="2"/>
  <c r="I137" i="2" s="1"/>
  <c r="N137" i="2" s="1"/>
  <c r="Y136" i="2"/>
  <c r="W136" i="2"/>
  <c r="V136" i="2"/>
  <c r="U136" i="2"/>
  <c r="T136" i="2"/>
  <c r="S136" i="2"/>
  <c r="R136" i="2" s="1"/>
  <c r="Q136" i="2"/>
  <c r="O136" i="2"/>
  <c r="N136" i="2"/>
  <c r="M136" i="2"/>
  <c r="L136" i="2" s="1"/>
  <c r="K136" i="2"/>
  <c r="J136" i="2" s="1"/>
  <c r="I136" i="2"/>
  <c r="P136" i="2" s="1"/>
  <c r="F136" i="2"/>
  <c r="Y135" i="2"/>
  <c r="X135" i="2"/>
  <c r="W135" i="2"/>
  <c r="V135" i="2" s="1"/>
  <c r="U135" i="2"/>
  <c r="T135" i="2"/>
  <c r="S135" i="2"/>
  <c r="R135" i="2"/>
  <c r="Q135" i="2"/>
  <c r="P135" i="2" s="1"/>
  <c r="O135" i="2"/>
  <c r="N135" i="2" s="1"/>
  <c r="M135" i="2"/>
  <c r="L135" i="2"/>
  <c r="K135" i="2"/>
  <c r="J135" i="2" s="1"/>
  <c r="F135" i="2"/>
  <c r="I135" i="2" s="1"/>
  <c r="Y134" i="2"/>
  <c r="X134" i="2"/>
  <c r="W134" i="2"/>
  <c r="V134" i="2" s="1"/>
  <c r="U134" i="2"/>
  <c r="T134" i="2"/>
  <c r="S134" i="2"/>
  <c r="R134" i="2"/>
  <c r="Q134" i="2"/>
  <c r="O134" i="2"/>
  <c r="N134" i="2" s="1"/>
  <c r="M134" i="2"/>
  <c r="L134" i="2" s="1"/>
  <c r="K134" i="2"/>
  <c r="J134" i="2" s="1"/>
  <c r="I134" i="2"/>
  <c r="F134" i="2"/>
  <c r="Y133" i="2"/>
  <c r="X133" i="2"/>
  <c r="W133" i="2"/>
  <c r="V133" i="2"/>
  <c r="U133" i="2"/>
  <c r="S133" i="2"/>
  <c r="R133" i="2"/>
  <c r="Q133" i="2"/>
  <c r="O133" i="2"/>
  <c r="N133" i="2" s="1"/>
  <c r="M133" i="2"/>
  <c r="K133" i="2"/>
  <c r="F133" i="2"/>
  <c r="I133" i="2" s="1"/>
  <c r="J133" i="2" s="1"/>
  <c r="Y132" i="2"/>
  <c r="X132" i="2"/>
  <c r="W132" i="2"/>
  <c r="V132" i="2"/>
  <c r="U132" i="2"/>
  <c r="T132" i="2" s="1"/>
  <c r="S132" i="2"/>
  <c r="R132" i="2" s="1"/>
  <c r="Q132" i="2"/>
  <c r="P132" i="2" s="1"/>
  <c r="O132" i="2"/>
  <c r="M132" i="2"/>
  <c r="L132" i="2"/>
  <c r="K132" i="2"/>
  <c r="J132" i="2"/>
  <c r="F132" i="2"/>
  <c r="I132" i="2" s="1"/>
  <c r="N132" i="2" s="1"/>
  <c r="Y131" i="2"/>
  <c r="W131" i="2"/>
  <c r="V131" i="2" s="1"/>
  <c r="U131" i="2"/>
  <c r="T131" i="2"/>
  <c r="S131" i="2"/>
  <c r="R131" i="2" s="1"/>
  <c r="Q131" i="2"/>
  <c r="P131" i="2"/>
  <c r="O131" i="2"/>
  <c r="N131" i="2"/>
  <c r="M131" i="2"/>
  <c r="L131" i="2"/>
  <c r="K131" i="2"/>
  <c r="J131" i="2"/>
  <c r="I131" i="2"/>
  <c r="F131" i="2"/>
  <c r="Y130" i="2"/>
  <c r="X130" i="2" s="1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F130" i="2"/>
  <c r="I130" i="2" s="1"/>
  <c r="J130" i="2" s="1"/>
  <c r="Y129" i="2"/>
  <c r="X129" i="2" s="1"/>
  <c r="W129" i="2"/>
  <c r="V129" i="2" s="1"/>
  <c r="U129" i="2"/>
  <c r="S129" i="2"/>
  <c r="R129" i="2"/>
  <c r="Q129" i="2"/>
  <c r="P129" i="2"/>
  <c r="O129" i="2"/>
  <c r="N129" i="2"/>
  <c r="M129" i="2"/>
  <c r="L129" i="2" s="1"/>
  <c r="K129" i="2"/>
  <c r="J129" i="2"/>
  <c r="F129" i="2"/>
  <c r="I129" i="2" s="1"/>
  <c r="T129" i="2" s="1"/>
  <c r="Y128" i="2"/>
  <c r="X128" i="2"/>
  <c r="W128" i="2"/>
  <c r="U128" i="2"/>
  <c r="T128" i="2" s="1"/>
  <c r="S128" i="2"/>
  <c r="R128" i="2"/>
  <c r="Q128" i="2"/>
  <c r="P128" i="2"/>
  <c r="O128" i="2"/>
  <c r="N128" i="2"/>
  <c r="M128" i="2"/>
  <c r="K128" i="2"/>
  <c r="J128" i="2"/>
  <c r="F128" i="2"/>
  <c r="I128" i="2" s="1"/>
  <c r="Y127" i="2"/>
  <c r="X127" i="2"/>
  <c r="W127" i="2"/>
  <c r="V127" i="2" s="1"/>
  <c r="U127" i="2"/>
  <c r="T127" i="2"/>
  <c r="S127" i="2"/>
  <c r="R127" i="2"/>
  <c r="Q127" i="2"/>
  <c r="P127" i="2" s="1"/>
  <c r="O127" i="2"/>
  <c r="N127" i="2"/>
  <c r="M127" i="2"/>
  <c r="L127" i="2"/>
  <c r="K127" i="2"/>
  <c r="J127" i="2"/>
  <c r="F127" i="2"/>
  <c r="I127" i="2" s="1"/>
  <c r="Y126" i="2"/>
  <c r="W126" i="2"/>
  <c r="V126" i="2"/>
  <c r="U126" i="2"/>
  <c r="T126" i="2"/>
  <c r="S126" i="2"/>
  <c r="R126" i="2"/>
  <c r="Q126" i="2"/>
  <c r="O126" i="2"/>
  <c r="N126" i="2"/>
  <c r="M126" i="2"/>
  <c r="L126" i="2"/>
  <c r="K126" i="2"/>
  <c r="F126" i="2"/>
  <c r="I126" i="2" s="1"/>
  <c r="P126" i="2" s="1"/>
  <c r="Y125" i="2"/>
  <c r="X125" i="2"/>
  <c r="W125" i="2"/>
  <c r="V125" i="2" s="1"/>
  <c r="U125" i="2"/>
  <c r="S125" i="2"/>
  <c r="R125" i="2"/>
  <c r="Q125" i="2"/>
  <c r="P125" i="2" s="1"/>
  <c r="O125" i="2"/>
  <c r="N125" i="2" s="1"/>
  <c r="M125" i="2"/>
  <c r="L125" i="2" s="1"/>
  <c r="K125" i="2"/>
  <c r="J125" i="2"/>
  <c r="F125" i="2"/>
  <c r="I125" i="2" s="1"/>
  <c r="T125" i="2" s="1"/>
  <c r="Y124" i="2"/>
  <c r="X124" i="2"/>
  <c r="W124" i="2"/>
  <c r="V124" i="2"/>
  <c r="U124" i="2"/>
  <c r="T124" i="2"/>
  <c r="S124" i="2"/>
  <c r="Q124" i="2"/>
  <c r="P124" i="2" s="1"/>
  <c r="O124" i="2"/>
  <c r="M124" i="2"/>
  <c r="L124" i="2"/>
  <c r="K124" i="2"/>
  <c r="F124" i="2"/>
  <c r="I124" i="2" s="1"/>
  <c r="J124" i="2" s="1"/>
  <c r="Y123" i="2"/>
  <c r="X123" i="2"/>
  <c r="W123" i="2"/>
  <c r="V123" i="2"/>
  <c r="U123" i="2"/>
  <c r="T123" i="2" s="1"/>
  <c r="S123" i="2"/>
  <c r="Q123" i="2"/>
  <c r="P123" i="2" s="1"/>
  <c r="O123" i="2"/>
  <c r="N123" i="2"/>
  <c r="M123" i="2"/>
  <c r="L123" i="2"/>
  <c r="K123" i="2"/>
  <c r="J123" i="2"/>
  <c r="F123" i="2"/>
  <c r="I123" i="2" s="1"/>
  <c r="Y122" i="2"/>
  <c r="X122" i="2"/>
  <c r="W122" i="2"/>
  <c r="U122" i="2"/>
  <c r="S122" i="2"/>
  <c r="R122" i="2" s="1"/>
  <c r="Q122" i="2"/>
  <c r="P122" i="2" s="1"/>
  <c r="O122" i="2"/>
  <c r="N122" i="2"/>
  <c r="M122" i="2"/>
  <c r="L122" i="2" s="1"/>
  <c r="K122" i="2"/>
  <c r="F122" i="2"/>
  <c r="I122" i="2" s="1"/>
  <c r="J122" i="2" s="1"/>
  <c r="Y121" i="2"/>
  <c r="W121" i="2"/>
  <c r="V121" i="2"/>
  <c r="U121" i="2"/>
  <c r="T121" i="2"/>
  <c r="S121" i="2"/>
  <c r="R121" i="2"/>
  <c r="Q121" i="2"/>
  <c r="P121" i="2" s="1"/>
  <c r="O121" i="2"/>
  <c r="N121" i="2"/>
  <c r="M121" i="2"/>
  <c r="L121" i="2" s="1"/>
  <c r="K121" i="2"/>
  <c r="J121" i="2"/>
  <c r="I121" i="2"/>
  <c r="F121" i="2"/>
  <c r="Y120" i="2"/>
  <c r="W120" i="2"/>
  <c r="U120" i="2"/>
  <c r="S120" i="2"/>
  <c r="R120" i="2"/>
  <c r="Q120" i="2"/>
  <c r="O120" i="2"/>
  <c r="M120" i="2"/>
  <c r="L120" i="2"/>
  <c r="K120" i="2"/>
  <c r="J120" i="2" s="1"/>
  <c r="F120" i="2"/>
  <c r="I120" i="2" s="1"/>
  <c r="N120" i="2" s="1"/>
  <c r="Y119" i="2"/>
  <c r="W119" i="2"/>
  <c r="V119" i="2" s="1"/>
  <c r="U119" i="2"/>
  <c r="T119" i="2" s="1"/>
  <c r="S119" i="2"/>
  <c r="Q119" i="2"/>
  <c r="O119" i="2"/>
  <c r="N119" i="2"/>
  <c r="M119" i="2"/>
  <c r="L119" i="2" s="1"/>
  <c r="K119" i="2"/>
  <c r="J119" i="2"/>
  <c r="F119" i="2"/>
  <c r="I119" i="2" s="1"/>
  <c r="P119" i="2" s="1"/>
  <c r="Y118" i="2"/>
  <c r="W118" i="2"/>
  <c r="V118" i="2"/>
  <c r="U118" i="2"/>
  <c r="T118" i="2"/>
  <c r="S118" i="2"/>
  <c r="R118" i="2"/>
  <c r="Q118" i="2"/>
  <c r="P118" i="2"/>
  <c r="O118" i="2"/>
  <c r="N118" i="2"/>
  <c r="M118" i="2"/>
  <c r="L118" i="2" s="1"/>
  <c r="K118" i="2"/>
  <c r="J118" i="2"/>
  <c r="F118" i="2"/>
  <c r="I118" i="2" s="1"/>
  <c r="Y117" i="2"/>
  <c r="W117" i="2"/>
  <c r="V117" i="2" s="1"/>
  <c r="U117" i="2"/>
  <c r="T117" i="2"/>
  <c r="S117" i="2"/>
  <c r="Q117" i="2"/>
  <c r="P117" i="2" s="1"/>
  <c r="O117" i="2"/>
  <c r="N117" i="2"/>
  <c r="M117" i="2"/>
  <c r="K117" i="2"/>
  <c r="J117" i="2" s="1"/>
  <c r="F117" i="2"/>
  <c r="I117" i="2" s="1"/>
  <c r="R117" i="2" s="1"/>
  <c r="Y116" i="2"/>
  <c r="W116" i="2"/>
  <c r="V116" i="2"/>
  <c r="U116" i="2"/>
  <c r="T116" i="2" s="1"/>
  <c r="S116" i="2"/>
  <c r="R116" i="2" s="1"/>
  <c r="Q116" i="2"/>
  <c r="P116" i="2"/>
  <c r="O116" i="2"/>
  <c r="N116" i="2" s="1"/>
  <c r="M116" i="2"/>
  <c r="L116" i="2"/>
  <c r="K116" i="2"/>
  <c r="J116" i="2"/>
  <c r="F116" i="2"/>
  <c r="I116" i="2" s="1"/>
  <c r="Y115" i="2"/>
  <c r="W115" i="2"/>
  <c r="V115" i="2" s="1"/>
  <c r="U115" i="2"/>
  <c r="T115" i="2" s="1"/>
  <c r="S115" i="2"/>
  <c r="R115" i="2"/>
  <c r="Q115" i="2"/>
  <c r="P115" i="2" s="1"/>
  <c r="O115" i="2"/>
  <c r="N115" i="2"/>
  <c r="M115" i="2"/>
  <c r="L115" i="2"/>
  <c r="K115" i="2"/>
  <c r="J115" i="2"/>
  <c r="I115" i="2"/>
  <c r="F115" i="2"/>
  <c r="Y114" i="2"/>
  <c r="W114" i="2"/>
  <c r="U114" i="2"/>
  <c r="T114" i="2"/>
  <c r="S114" i="2"/>
  <c r="R114" i="2"/>
  <c r="Q114" i="2"/>
  <c r="P114" i="2"/>
  <c r="O114" i="2"/>
  <c r="N114" i="2"/>
  <c r="M114" i="2"/>
  <c r="L114" i="2" s="1"/>
  <c r="K114" i="2"/>
  <c r="J114" i="2" s="1"/>
  <c r="I114" i="2"/>
  <c r="F114" i="2"/>
  <c r="Y113" i="2"/>
  <c r="W113" i="2"/>
  <c r="V113" i="2"/>
  <c r="U113" i="2"/>
  <c r="T113" i="2" s="1"/>
  <c r="S113" i="2"/>
  <c r="R113" i="2" s="1"/>
  <c r="Q113" i="2"/>
  <c r="P113" i="2" s="1"/>
  <c r="O113" i="2"/>
  <c r="M113" i="2"/>
  <c r="L113" i="2"/>
  <c r="K113" i="2"/>
  <c r="F113" i="2"/>
  <c r="I113" i="2" s="1"/>
  <c r="N113" i="2" s="1"/>
  <c r="Y112" i="2"/>
  <c r="W112" i="2"/>
  <c r="V112" i="2" s="1"/>
  <c r="U112" i="2"/>
  <c r="T112" i="2" s="1"/>
  <c r="S112" i="2"/>
  <c r="R112" i="2" s="1"/>
  <c r="Q112" i="2"/>
  <c r="P112" i="2"/>
  <c r="O112" i="2"/>
  <c r="M112" i="2"/>
  <c r="K112" i="2"/>
  <c r="J112" i="2" s="1"/>
  <c r="F112" i="2"/>
  <c r="I112" i="2" s="1"/>
  <c r="Y111" i="2"/>
  <c r="W111" i="2"/>
  <c r="V111" i="2"/>
  <c r="U111" i="2"/>
  <c r="T111" i="2"/>
  <c r="S111" i="2"/>
  <c r="R111" i="2"/>
  <c r="Q111" i="2"/>
  <c r="P111" i="2"/>
  <c r="O111" i="2"/>
  <c r="N111" i="2" s="1"/>
  <c r="M111" i="2"/>
  <c r="L111" i="2"/>
  <c r="K111" i="2"/>
  <c r="J111" i="2"/>
  <c r="F111" i="2"/>
  <c r="I111" i="2" s="1"/>
  <c r="Y110" i="2"/>
  <c r="W110" i="2"/>
  <c r="V110" i="2"/>
  <c r="U110" i="2"/>
  <c r="T110" i="2" s="1"/>
  <c r="S110" i="2"/>
  <c r="R110" i="2"/>
  <c r="Q110" i="2"/>
  <c r="O110" i="2"/>
  <c r="N110" i="2" s="1"/>
  <c r="M110" i="2"/>
  <c r="L110" i="2" s="1"/>
  <c r="K110" i="2"/>
  <c r="J110" i="2" s="1"/>
  <c r="F110" i="2"/>
  <c r="I110" i="2" s="1"/>
  <c r="Y109" i="2"/>
  <c r="W109" i="2"/>
  <c r="V109" i="2" s="1"/>
  <c r="U109" i="2"/>
  <c r="T109" i="2"/>
  <c r="S109" i="2"/>
  <c r="R109" i="2"/>
  <c r="Q109" i="2"/>
  <c r="P109" i="2"/>
  <c r="O109" i="2"/>
  <c r="N109" i="2"/>
  <c r="M109" i="2"/>
  <c r="K109" i="2"/>
  <c r="J109" i="2" s="1"/>
  <c r="I109" i="2"/>
  <c r="L109" i="2" s="1"/>
  <c r="F109" i="2"/>
  <c r="Y108" i="2"/>
  <c r="W108" i="2"/>
  <c r="V108" i="2" s="1"/>
  <c r="U108" i="2"/>
  <c r="T108" i="2"/>
  <c r="S108" i="2"/>
  <c r="R108" i="2" s="1"/>
  <c r="Q108" i="2"/>
  <c r="P108" i="2" s="1"/>
  <c r="O108" i="2"/>
  <c r="M108" i="2"/>
  <c r="L108" i="2"/>
  <c r="K108" i="2"/>
  <c r="J108" i="2"/>
  <c r="F108" i="2"/>
  <c r="I108" i="2" s="1"/>
  <c r="Y107" i="2"/>
  <c r="W107" i="2"/>
  <c r="V107" i="2" s="1"/>
  <c r="U107" i="2"/>
  <c r="T107" i="2" s="1"/>
  <c r="S107" i="2"/>
  <c r="Q107" i="2"/>
  <c r="P107" i="2"/>
  <c r="O107" i="2"/>
  <c r="M107" i="2"/>
  <c r="K107" i="2"/>
  <c r="F107" i="2"/>
  <c r="I107" i="2" s="1"/>
  <c r="Y106" i="2"/>
  <c r="W106" i="2"/>
  <c r="U106" i="2"/>
  <c r="T106" i="2" s="1"/>
  <c r="S106" i="2"/>
  <c r="R106" i="2"/>
  <c r="Q106" i="2"/>
  <c r="O106" i="2"/>
  <c r="N106" i="2"/>
  <c r="M106" i="2"/>
  <c r="L106" i="2" s="1"/>
  <c r="K106" i="2"/>
  <c r="J106" i="2"/>
  <c r="F106" i="2"/>
  <c r="I106" i="2" s="1"/>
  <c r="P106" i="2" s="1"/>
  <c r="Y105" i="2"/>
  <c r="W105" i="2"/>
  <c r="U105" i="2"/>
  <c r="T105" i="2"/>
  <c r="S105" i="2"/>
  <c r="R105" i="2"/>
  <c r="Q105" i="2"/>
  <c r="O105" i="2"/>
  <c r="N105" i="2"/>
  <c r="M105" i="2"/>
  <c r="L105" i="2" s="1"/>
  <c r="K105" i="2"/>
  <c r="J105" i="2"/>
  <c r="F105" i="2"/>
  <c r="I105" i="2" s="1"/>
  <c r="P105" i="2" s="1"/>
  <c r="Y104" i="2"/>
  <c r="W104" i="2"/>
  <c r="U104" i="2"/>
  <c r="T104" i="2"/>
  <c r="S104" i="2"/>
  <c r="R104" i="2"/>
  <c r="Q104" i="2"/>
  <c r="P104" i="2"/>
  <c r="O104" i="2"/>
  <c r="N104" i="2"/>
  <c r="M104" i="2"/>
  <c r="K104" i="2"/>
  <c r="J104" i="2" s="1"/>
  <c r="F104" i="2"/>
  <c r="I104" i="2" s="1"/>
  <c r="Y103" i="2"/>
  <c r="W103" i="2"/>
  <c r="U103" i="2"/>
  <c r="T103" i="2"/>
  <c r="S103" i="2"/>
  <c r="R103" i="2"/>
  <c r="Q103" i="2"/>
  <c r="P103" i="2"/>
  <c r="O103" i="2"/>
  <c r="N103" i="2"/>
  <c r="M103" i="2"/>
  <c r="L103" i="2" s="1"/>
  <c r="K103" i="2"/>
  <c r="J103" i="2"/>
  <c r="F103" i="2"/>
  <c r="I103" i="2" s="1"/>
  <c r="Y102" i="2"/>
  <c r="W102" i="2"/>
  <c r="U102" i="2"/>
  <c r="T102" i="2"/>
  <c r="S102" i="2"/>
  <c r="R102" i="2"/>
  <c r="Q102" i="2"/>
  <c r="P102" i="2"/>
  <c r="O102" i="2"/>
  <c r="N102" i="2"/>
  <c r="M102" i="2"/>
  <c r="L102" i="2" s="1"/>
  <c r="K102" i="2"/>
  <c r="J102" i="2" s="1"/>
  <c r="I102" i="2"/>
  <c r="F102" i="2"/>
  <c r="Y101" i="2"/>
  <c r="W101" i="2"/>
  <c r="U101" i="2"/>
  <c r="S101" i="2"/>
  <c r="Q101" i="2"/>
  <c r="O101" i="2"/>
  <c r="M101" i="2"/>
  <c r="K101" i="2"/>
  <c r="F101" i="2"/>
  <c r="I101" i="2" s="1"/>
  <c r="Y100" i="2"/>
  <c r="W100" i="2"/>
  <c r="U100" i="2"/>
  <c r="T100" i="2"/>
  <c r="S100" i="2"/>
  <c r="Q100" i="2"/>
  <c r="O100" i="2"/>
  <c r="M100" i="2"/>
  <c r="K100" i="2"/>
  <c r="J100" i="2" s="1"/>
  <c r="I100" i="2"/>
  <c r="F100" i="2"/>
  <c r="Y99" i="2"/>
  <c r="W99" i="2"/>
  <c r="U99" i="2"/>
  <c r="S99" i="2"/>
  <c r="R99" i="2" s="1"/>
  <c r="Q99" i="2"/>
  <c r="P99" i="2"/>
  <c r="O99" i="2"/>
  <c r="N99" i="2"/>
  <c r="M99" i="2"/>
  <c r="L99" i="2" s="1"/>
  <c r="K99" i="2"/>
  <c r="J99" i="2"/>
  <c r="F99" i="2"/>
  <c r="I99" i="2" s="1"/>
  <c r="T99" i="2" s="1"/>
  <c r="Y98" i="2"/>
  <c r="W98" i="2"/>
  <c r="U98" i="2"/>
  <c r="S98" i="2"/>
  <c r="Q98" i="2"/>
  <c r="O98" i="2"/>
  <c r="M98" i="2"/>
  <c r="K98" i="2"/>
  <c r="F98" i="2"/>
  <c r="I98" i="2" s="1"/>
  <c r="Y97" i="2"/>
  <c r="W97" i="2"/>
  <c r="U97" i="2"/>
  <c r="T97" i="2"/>
  <c r="S97" i="2"/>
  <c r="R97" i="2" s="1"/>
  <c r="Q97" i="2"/>
  <c r="O97" i="2"/>
  <c r="N97" i="2"/>
  <c r="M97" i="2"/>
  <c r="L97" i="2" s="1"/>
  <c r="K97" i="2"/>
  <c r="J97" i="2"/>
  <c r="F97" i="2"/>
  <c r="I97" i="2" s="1"/>
  <c r="P97" i="2" s="1"/>
  <c r="Y96" i="2"/>
  <c r="W96" i="2"/>
  <c r="U96" i="2"/>
  <c r="T96" i="2"/>
  <c r="S96" i="2"/>
  <c r="R96" i="2"/>
  <c r="Q96" i="2"/>
  <c r="P96" i="2"/>
  <c r="O96" i="2"/>
  <c r="M96" i="2"/>
  <c r="K96" i="2"/>
  <c r="J96" i="2"/>
  <c r="F96" i="2"/>
  <c r="I96" i="2" s="1"/>
  <c r="N96" i="2" s="1"/>
  <c r="Y95" i="2"/>
  <c r="W95" i="2"/>
  <c r="U95" i="2"/>
  <c r="T95" i="2"/>
  <c r="S95" i="2"/>
  <c r="R95" i="2"/>
  <c r="Q95" i="2"/>
  <c r="P95" i="2" s="1"/>
  <c r="O95" i="2"/>
  <c r="N95" i="2"/>
  <c r="M95" i="2"/>
  <c r="L95" i="2" s="1"/>
  <c r="K95" i="2"/>
  <c r="J95" i="2"/>
  <c r="I95" i="2"/>
  <c r="F95" i="2"/>
  <c r="Y94" i="2"/>
  <c r="W94" i="2"/>
  <c r="U94" i="2"/>
  <c r="T94" i="2" s="1"/>
  <c r="S94" i="2"/>
  <c r="R94" i="2"/>
  <c r="Q94" i="2"/>
  <c r="O94" i="2"/>
  <c r="N94" i="2"/>
  <c r="M94" i="2"/>
  <c r="L94" i="2" s="1"/>
  <c r="K94" i="2"/>
  <c r="J94" i="2"/>
  <c r="I94" i="2"/>
  <c r="P94" i="2" s="1"/>
  <c r="F94" i="2"/>
  <c r="Y93" i="2"/>
  <c r="W93" i="2"/>
  <c r="U93" i="2"/>
  <c r="T93" i="2"/>
  <c r="S93" i="2"/>
  <c r="Q93" i="2"/>
  <c r="P93" i="2"/>
  <c r="O93" i="2"/>
  <c r="N93" i="2"/>
  <c r="M93" i="2"/>
  <c r="L93" i="2" s="1"/>
  <c r="K93" i="2"/>
  <c r="J93" i="2"/>
  <c r="F93" i="2"/>
  <c r="I93" i="2" s="1"/>
  <c r="R93" i="2" s="1"/>
  <c r="Y92" i="2"/>
  <c r="W92" i="2"/>
  <c r="U92" i="2"/>
  <c r="T92" i="2" s="1"/>
  <c r="S92" i="2"/>
  <c r="R92" i="2"/>
  <c r="Q92" i="2"/>
  <c r="P92" i="2"/>
  <c r="O92" i="2"/>
  <c r="M92" i="2"/>
  <c r="L92" i="2" s="1"/>
  <c r="K92" i="2"/>
  <c r="J92" i="2"/>
  <c r="F92" i="2"/>
  <c r="I92" i="2" s="1"/>
  <c r="N92" i="2" s="1"/>
  <c r="Y91" i="2"/>
  <c r="W91" i="2"/>
  <c r="U91" i="2"/>
  <c r="T91" i="2" s="1"/>
  <c r="S91" i="2"/>
  <c r="R91" i="2"/>
  <c r="Q91" i="2"/>
  <c r="P91" i="2"/>
  <c r="O91" i="2"/>
  <c r="M91" i="2"/>
  <c r="L91" i="2" s="1"/>
  <c r="K91" i="2"/>
  <c r="J91" i="2"/>
  <c r="F91" i="2"/>
  <c r="I91" i="2" s="1"/>
  <c r="N91" i="2" s="1"/>
  <c r="Y90" i="2"/>
  <c r="W90" i="2"/>
  <c r="U90" i="2"/>
  <c r="T90" i="2" s="1"/>
  <c r="S90" i="2"/>
  <c r="Q90" i="2"/>
  <c r="P90" i="2"/>
  <c r="O90" i="2"/>
  <c r="N90" i="2"/>
  <c r="M90" i="2"/>
  <c r="L90" i="2" s="1"/>
  <c r="K90" i="2"/>
  <c r="F90" i="2"/>
  <c r="I90" i="2" s="1"/>
  <c r="Y89" i="2"/>
  <c r="W89" i="2"/>
  <c r="U89" i="2"/>
  <c r="T89" i="2"/>
  <c r="S89" i="2"/>
  <c r="R89" i="2"/>
  <c r="Q89" i="2"/>
  <c r="P89" i="2" s="1"/>
  <c r="O89" i="2"/>
  <c r="N89" i="2"/>
  <c r="M89" i="2"/>
  <c r="L89" i="2" s="1"/>
  <c r="K89" i="2"/>
  <c r="J89" i="2"/>
  <c r="I89" i="2"/>
  <c r="F89" i="2"/>
  <c r="Y88" i="2"/>
  <c r="W88" i="2"/>
  <c r="U88" i="2"/>
  <c r="T88" i="2"/>
  <c r="S88" i="2"/>
  <c r="Q88" i="2"/>
  <c r="O88" i="2"/>
  <c r="N88" i="2"/>
  <c r="M88" i="2"/>
  <c r="L88" i="2" s="1"/>
  <c r="K88" i="2"/>
  <c r="J88" i="2"/>
  <c r="F88" i="2"/>
  <c r="I88" i="2" s="1"/>
  <c r="P88" i="2" s="1"/>
  <c r="Y87" i="2"/>
  <c r="W87" i="2"/>
  <c r="U87" i="2"/>
  <c r="S87" i="2"/>
  <c r="R87" i="2"/>
  <c r="Q87" i="2"/>
  <c r="P87" i="2" s="1"/>
  <c r="O87" i="2"/>
  <c r="N87" i="2"/>
  <c r="M87" i="2"/>
  <c r="L87" i="2" s="1"/>
  <c r="K87" i="2"/>
  <c r="J87" i="2"/>
  <c r="F87" i="2"/>
  <c r="I87" i="2" s="1"/>
  <c r="T87" i="2" s="1"/>
  <c r="Y86" i="2"/>
  <c r="W86" i="2"/>
  <c r="U86" i="2"/>
  <c r="T86" i="2"/>
  <c r="S86" i="2"/>
  <c r="R86" i="2"/>
  <c r="Q86" i="2"/>
  <c r="O86" i="2"/>
  <c r="N86" i="2"/>
  <c r="M86" i="2"/>
  <c r="L86" i="2" s="1"/>
  <c r="K86" i="2"/>
  <c r="I86" i="2"/>
  <c r="P86" i="2" s="1"/>
  <c r="F86" i="2"/>
  <c r="Y85" i="2"/>
  <c r="W85" i="2"/>
  <c r="U85" i="2"/>
  <c r="S85" i="2"/>
  <c r="Q85" i="2"/>
  <c r="P85" i="2" s="1"/>
  <c r="O85" i="2"/>
  <c r="N85" i="2"/>
  <c r="M85" i="2"/>
  <c r="L85" i="2" s="1"/>
  <c r="K85" i="2"/>
  <c r="J85" i="2"/>
  <c r="I85" i="2"/>
  <c r="F85" i="2"/>
  <c r="Y84" i="2"/>
  <c r="W84" i="2"/>
  <c r="U84" i="2"/>
  <c r="T84" i="2"/>
  <c r="S84" i="2"/>
  <c r="R84" i="2"/>
  <c r="Q84" i="2"/>
  <c r="O84" i="2"/>
  <c r="N84" i="2"/>
  <c r="M84" i="2"/>
  <c r="L84" i="2" s="1"/>
  <c r="K84" i="2"/>
  <c r="J84" i="2" s="1"/>
  <c r="I84" i="2"/>
  <c r="P84" i="2" s="1"/>
  <c r="F84" i="2"/>
  <c r="Y83" i="2"/>
  <c r="W83" i="2"/>
  <c r="U83" i="2"/>
  <c r="T83" i="2"/>
  <c r="S83" i="2"/>
  <c r="R83" i="2"/>
  <c r="Q83" i="2"/>
  <c r="O83" i="2"/>
  <c r="N83" i="2"/>
  <c r="M83" i="2"/>
  <c r="L83" i="2" s="1"/>
  <c r="K83" i="2"/>
  <c r="J83" i="2"/>
  <c r="I83" i="2"/>
  <c r="F83" i="2"/>
  <c r="Y82" i="2"/>
  <c r="W82" i="2"/>
  <c r="U82" i="2"/>
  <c r="T82" i="2" s="1"/>
  <c r="S82" i="2"/>
  <c r="R82" i="2"/>
  <c r="Q82" i="2"/>
  <c r="P82" i="2"/>
  <c r="O82" i="2"/>
  <c r="N82" i="2"/>
  <c r="M82" i="2"/>
  <c r="L82" i="2" s="1"/>
  <c r="K82" i="2"/>
  <c r="J82" i="2"/>
  <c r="F82" i="2"/>
  <c r="I82" i="2" s="1"/>
  <c r="Y81" i="2"/>
  <c r="W81" i="2"/>
  <c r="U81" i="2"/>
  <c r="T81" i="2"/>
  <c r="S81" i="2"/>
  <c r="Q81" i="2"/>
  <c r="O81" i="2"/>
  <c r="N81" i="2"/>
  <c r="M81" i="2"/>
  <c r="L81" i="2" s="1"/>
  <c r="K81" i="2"/>
  <c r="F81" i="2"/>
  <c r="I81" i="2" s="1"/>
  <c r="Y80" i="2"/>
  <c r="W80" i="2"/>
  <c r="U80" i="2"/>
  <c r="T80" i="2" s="1"/>
  <c r="S80" i="2"/>
  <c r="R80" i="2"/>
  <c r="Q80" i="2"/>
  <c r="P80" i="2"/>
  <c r="O80" i="2"/>
  <c r="M80" i="2"/>
  <c r="L80" i="2" s="1"/>
  <c r="K80" i="2"/>
  <c r="J80" i="2"/>
  <c r="F80" i="2"/>
  <c r="I80" i="2" s="1"/>
  <c r="N80" i="2" s="1"/>
  <c r="Y79" i="2"/>
  <c r="W79" i="2"/>
  <c r="U79" i="2"/>
  <c r="T79" i="2"/>
  <c r="S79" i="2"/>
  <c r="Q79" i="2"/>
  <c r="O79" i="2"/>
  <c r="N79" i="2"/>
  <c r="M79" i="2"/>
  <c r="K79" i="2"/>
  <c r="J79" i="2"/>
  <c r="F79" i="2"/>
  <c r="I79" i="2" s="1"/>
  <c r="Y78" i="2"/>
  <c r="W78" i="2"/>
  <c r="U78" i="2"/>
  <c r="T78" i="2"/>
  <c r="S78" i="2"/>
  <c r="R78" i="2"/>
  <c r="Q78" i="2"/>
  <c r="P78" i="2"/>
  <c r="O78" i="2"/>
  <c r="N78" i="2"/>
  <c r="M78" i="2"/>
  <c r="L78" i="2" s="1"/>
  <c r="K78" i="2"/>
  <c r="J78" i="2" s="1"/>
  <c r="F78" i="2"/>
  <c r="I78" i="2" s="1"/>
  <c r="Y77" i="2"/>
  <c r="W77" i="2"/>
  <c r="U77" i="2"/>
  <c r="T77" i="2"/>
  <c r="S77" i="2"/>
  <c r="R77" i="2"/>
  <c r="Q77" i="2"/>
  <c r="P77" i="2"/>
  <c r="O77" i="2"/>
  <c r="M77" i="2"/>
  <c r="L77" i="2" s="1"/>
  <c r="K77" i="2"/>
  <c r="J77" i="2"/>
  <c r="F77" i="2"/>
  <c r="I77" i="2" s="1"/>
  <c r="N77" i="2" s="1"/>
  <c r="Y76" i="2"/>
  <c r="W76" i="2"/>
  <c r="U76" i="2"/>
  <c r="T76" i="2"/>
  <c r="S76" i="2"/>
  <c r="R76" i="2"/>
  <c r="Q76" i="2"/>
  <c r="P76" i="2"/>
  <c r="O76" i="2"/>
  <c r="N76" i="2"/>
  <c r="M76" i="2"/>
  <c r="L76" i="2" s="1"/>
  <c r="K76" i="2"/>
  <c r="J76" i="2"/>
  <c r="I76" i="2"/>
  <c r="F76" i="2"/>
  <c r="Y75" i="2"/>
  <c r="W75" i="2"/>
  <c r="U75" i="2"/>
  <c r="T75" i="2"/>
  <c r="S75" i="2"/>
  <c r="R75" i="2"/>
  <c r="Q75" i="2"/>
  <c r="P75" i="2"/>
  <c r="O75" i="2"/>
  <c r="M75" i="2"/>
  <c r="L75" i="2" s="1"/>
  <c r="K75" i="2"/>
  <c r="F75" i="2"/>
  <c r="I75" i="2" s="1"/>
  <c r="N75" i="2" s="1"/>
  <c r="Y74" i="2"/>
  <c r="W74" i="2"/>
  <c r="U74" i="2"/>
  <c r="T74" i="2" s="1"/>
  <c r="S74" i="2"/>
  <c r="Q74" i="2"/>
  <c r="P74" i="2"/>
  <c r="O74" i="2"/>
  <c r="M74" i="2"/>
  <c r="L74" i="2" s="1"/>
  <c r="K74" i="2"/>
  <c r="J74" i="2"/>
  <c r="F74" i="2"/>
  <c r="I74" i="2" s="1"/>
  <c r="Y73" i="2"/>
  <c r="W73" i="2"/>
  <c r="U73" i="2"/>
  <c r="T73" i="2"/>
  <c r="S73" i="2"/>
  <c r="Q73" i="2"/>
  <c r="P73" i="2"/>
  <c r="O73" i="2"/>
  <c r="M73" i="2"/>
  <c r="L73" i="2" s="1"/>
  <c r="K73" i="2"/>
  <c r="F73" i="2"/>
  <c r="I73" i="2" s="1"/>
  <c r="Y72" i="2"/>
  <c r="W72" i="2"/>
  <c r="U72" i="2"/>
  <c r="T72" i="2"/>
  <c r="S72" i="2"/>
  <c r="R72" i="2"/>
  <c r="Q72" i="2"/>
  <c r="O72" i="2"/>
  <c r="N72" i="2"/>
  <c r="M72" i="2"/>
  <c r="L72" i="2" s="1"/>
  <c r="K72" i="2"/>
  <c r="F72" i="2"/>
  <c r="I72" i="2" s="1"/>
  <c r="Y71" i="2"/>
  <c r="W71" i="2"/>
  <c r="U71" i="2"/>
  <c r="T71" i="2" s="1"/>
  <c r="S71" i="2"/>
  <c r="R71" i="2"/>
  <c r="Q71" i="2"/>
  <c r="P71" i="2"/>
  <c r="O71" i="2"/>
  <c r="N71" i="2"/>
  <c r="M71" i="2"/>
  <c r="L71" i="2" s="1"/>
  <c r="K71" i="2"/>
  <c r="J71" i="2"/>
  <c r="F71" i="2"/>
  <c r="I71" i="2" s="1"/>
  <c r="Y70" i="2"/>
  <c r="W70" i="2"/>
  <c r="U70" i="2"/>
  <c r="T70" i="2"/>
  <c r="S70" i="2"/>
  <c r="Q70" i="2"/>
  <c r="O70" i="2"/>
  <c r="N70" i="2"/>
  <c r="M70" i="2"/>
  <c r="L70" i="2" s="1"/>
  <c r="K70" i="2"/>
  <c r="J70" i="2"/>
  <c r="F70" i="2"/>
  <c r="I70" i="2" s="1"/>
  <c r="Y69" i="2"/>
  <c r="W69" i="2"/>
  <c r="U69" i="2"/>
  <c r="T69" i="2"/>
  <c r="S69" i="2"/>
  <c r="R69" i="2"/>
  <c r="Q69" i="2"/>
  <c r="P69" i="2" s="1"/>
  <c r="O69" i="2"/>
  <c r="N69" i="2"/>
  <c r="M69" i="2"/>
  <c r="L69" i="2" s="1"/>
  <c r="K69" i="2"/>
  <c r="J69" i="2"/>
  <c r="I69" i="2"/>
  <c r="F69" i="2"/>
  <c r="Y68" i="2"/>
  <c r="W68" i="2"/>
  <c r="U68" i="2"/>
  <c r="T68" i="2" s="1"/>
  <c r="S68" i="2"/>
  <c r="R68" i="2"/>
  <c r="Q68" i="2"/>
  <c r="P68" i="2"/>
  <c r="O68" i="2"/>
  <c r="N68" i="2"/>
  <c r="M68" i="2"/>
  <c r="L68" i="2" s="1"/>
  <c r="K68" i="2"/>
  <c r="J68" i="2" s="1"/>
  <c r="I68" i="2"/>
  <c r="F68" i="2"/>
  <c r="Y67" i="2"/>
  <c r="W67" i="2"/>
  <c r="U67" i="2"/>
  <c r="T67" i="2"/>
  <c r="S67" i="2"/>
  <c r="R67" i="2"/>
  <c r="Q67" i="2"/>
  <c r="O67" i="2"/>
  <c r="N67" i="2"/>
  <c r="M67" i="2"/>
  <c r="L67" i="2" s="1"/>
  <c r="K67" i="2"/>
  <c r="F67" i="2"/>
  <c r="I67" i="2" s="1"/>
  <c r="Y66" i="2"/>
  <c r="W66" i="2"/>
  <c r="U66" i="2"/>
  <c r="T66" i="2"/>
  <c r="S66" i="2"/>
  <c r="R66" i="2"/>
  <c r="Q66" i="2"/>
  <c r="O66" i="2"/>
  <c r="N66" i="2"/>
  <c r="M66" i="2"/>
  <c r="L66" i="2" s="1"/>
  <c r="K66" i="2"/>
  <c r="J66" i="2"/>
  <c r="F66" i="2"/>
  <c r="I66" i="2" s="1"/>
  <c r="P66" i="2" s="1"/>
  <c r="Y65" i="2"/>
  <c r="W65" i="2"/>
  <c r="U65" i="2"/>
  <c r="T65" i="2"/>
  <c r="S65" i="2"/>
  <c r="R65" i="2" s="1"/>
  <c r="Q65" i="2"/>
  <c r="O65" i="2"/>
  <c r="N65" i="2"/>
  <c r="M65" i="2"/>
  <c r="L65" i="2" s="1"/>
  <c r="K65" i="2"/>
  <c r="J65" i="2"/>
  <c r="F65" i="2"/>
  <c r="I65" i="2" s="1"/>
  <c r="P65" i="2" s="1"/>
  <c r="Y64" i="2"/>
  <c r="W64" i="2"/>
  <c r="U64" i="2"/>
  <c r="T64" i="2"/>
  <c r="S64" i="2"/>
  <c r="R64" i="2"/>
  <c r="Q64" i="2"/>
  <c r="O64" i="2"/>
  <c r="N64" i="2"/>
  <c r="M64" i="2"/>
  <c r="L64" i="2" s="1"/>
  <c r="K64" i="2"/>
  <c r="I64" i="2"/>
  <c r="P64" i="2" s="1"/>
  <c r="F64" i="2"/>
  <c r="Y63" i="2"/>
  <c r="W63" i="2"/>
  <c r="U63" i="2"/>
  <c r="T63" i="2"/>
  <c r="S63" i="2"/>
  <c r="R63" i="2"/>
  <c r="Q63" i="2"/>
  <c r="P63" i="2"/>
  <c r="O63" i="2"/>
  <c r="N63" i="2"/>
  <c r="M63" i="2"/>
  <c r="L63" i="2" s="1"/>
  <c r="K63" i="2"/>
  <c r="I63" i="2"/>
  <c r="J63" i="2" s="1"/>
  <c r="F63" i="2"/>
  <c r="Y62" i="2"/>
  <c r="W62" i="2"/>
  <c r="U62" i="2"/>
  <c r="T62" i="2"/>
  <c r="S62" i="2"/>
  <c r="R62" i="2"/>
  <c r="Q62" i="2"/>
  <c r="O62" i="2"/>
  <c r="N62" i="2"/>
  <c r="M62" i="2"/>
  <c r="L62" i="2" s="1"/>
  <c r="K62" i="2"/>
  <c r="J62" i="2" s="1"/>
  <c r="F62" i="2"/>
  <c r="I62" i="2" s="1"/>
  <c r="P62" i="2" s="1"/>
  <c r="Y61" i="2"/>
  <c r="W61" i="2"/>
  <c r="U61" i="2"/>
  <c r="T61" i="2"/>
  <c r="S61" i="2"/>
  <c r="R61" i="2"/>
  <c r="Q61" i="2"/>
  <c r="P61" i="2"/>
  <c r="O61" i="2"/>
  <c r="N61" i="2"/>
  <c r="M61" i="2"/>
  <c r="L61" i="2" s="1"/>
  <c r="K61" i="2"/>
  <c r="J61" i="2"/>
  <c r="I61" i="2"/>
  <c r="F61" i="2"/>
  <c r="Y60" i="2"/>
  <c r="W60" i="2"/>
  <c r="U60" i="2"/>
  <c r="T60" i="2" s="1"/>
  <c r="S60" i="2"/>
  <c r="R60" i="2"/>
  <c r="Q60" i="2"/>
  <c r="P60" i="2"/>
  <c r="O60" i="2"/>
  <c r="N60" i="2"/>
  <c r="M60" i="2"/>
  <c r="L60" i="2" s="1"/>
  <c r="K60" i="2"/>
  <c r="I60" i="2"/>
  <c r="J60" i="2" s="1"/>
  <c r="F60" i="2"/>
  <c r="Y59" i="2"/>
  <c r="W59" i="2"/>
  <c r="U59" i="2"/>
  <c r="T59" i="2"/>
  <c r="S59" i="2"/>
  <c r="R59" i="2"/>
  <c r="Q59" i="2"/>
  <c r="P59" i="2"/>
  <c r="O59" i="2"/>
  <c r="N59" i="2"/>
  <c r="M59" i="2"/>
  <c r="L59" i="2" s="1"/>
  <c r="K59" i="2"/>
  <c r="J59" i="2"/>
  <c r="I59" i="2"/>
  <c r="F59" i="2"/>
  <c r="Y58" i="2"/>
  <c r="W58" i="2"/>
  <c r="U58" i="2"/>
  <c r="T58" i="2"/>
  <c r="S58" i="2"/>
  <c r="Q58" i="2"/>
  <c r="O58" i="2"/>
  <c r="N58" i="2"/>
  <c r="M58" i="2"/>
  <c r="L58" i="2" s="1"/>
  <c r="K58" i="2"/>
  <c r="J58" i="2"/>
  <c r="F58" i="2"/>
  <c r="I58" i="2" s="1"/>
  <c r="Y57" i="2"/>
  <c r="W57" i="2"/>
  <c r="U57" i="2"/>
  <c r="S57" i="2"/>
  <c r="Q57" i="2"/>
  <c r="O57" i="2"/>
  <c r="M57" i="2"/>
  <c r="K57" i="2"/>
  <c r="F57" i="2"/>
  <c r="I57" i="2" s="1"/>
  <c r="Y56" i="2"/>
  <c r="W56" i="2"/>
  <c r="U56" i="2"/>
  <c r="T56" i="2" s="1"/>
  <c r="S56" i="2"/>
  <c r="R56" i="2"/>
  <c r="Q56" i="2"/>
  <c r="O56" i="2"/>
  <c r="M56" i="2"/>
  <c r="L56" i="2" s="1"/>
  <c r="K56" i="2"/>
  <c r="J56" i="2"/>
  <c r="F56" i="2"/>
  <c r="I56" i="2" s="1"/>
  <c r="Y55" i="2"/>
  <c r="W55" i="2"/>
  <c r="U55" i="2"/>
  <c r="T55" i="2" s="1"/>
  <c r="S55" i="2"/>
  <c r="R55" i="2" s="1"/>
  <c r="Q55" i="2"/>
  <c r="P55" i="2"/>
  <c r="O55" i="2"/>
  <c r="M55" i="2"/>
  <c r="L55" i="2" s="1"/>
  <c r="K55" i="2"/>
  <c r="J55" i="2"/>
  <c r="F55" i="2"/>
  <c r="I55" i="2" s="1"/>
  <c r="N55" i="2" s="1"/>
  <c r="Y54" i="2"/>
  <c r="W54" i="2"/>
  <c r="U54" i="2"/>
  <c r="T54" i="2"/>
  <c r="S54" i="2"/>
  <c r="R54" i="2"/>
  <c r="Q54" i="2"/>
  <c r="O54" i="2"/>
  <c r="N54" i="2"/>
  <c r="M54" i="2"/>
  <c r="L54" i="2" s="1"/>
  <c r="K54" i="2"/>
  <c r="J54" i="2" s="1"/>
  <c r="F54" i="2"/>
  <c r="I54" i="2" s="1"/>
  <c r="P54" i="2" s="1"/>
  <c r="Y53" i="2"/>
  <c r="W53" i="2"/>
  <c r="U53" i="2"/>
  <c r="T53" i="2"/>
  <c r="S53" i="2"/>
  <c r="R53" i="2"/>
  <c r="Q53" i="2"/>
  <c r="P53" i="2"/>
  <c r="O53" i="2"/>
  <c r="N53" i="2"/>
  <c r="M53" i="2"/>
  <c r="L53" i="2" s="1"/>
  <c r="K53" i="2"/>
  <c r="F53" i="2"/>
  <c r="I53" i="2" s="1"/>
  <c r="J53" i="2" s="1"/>
  <c r="Y52" i="2"/>
  <c r="W52" i="2"/>
  <c r="U52" i="2"/>
  <c r="T52" i="2"/>
  <c r="S52" i="2"/>
  <c r="R52" i="2"/>
  <c r="Q52" i="2"/>
  <c r="P52" i="2"/>
  <c r="O52" i="2"/>
  <c r="N52" i="2"/>
  <c r="M52" i="2"/>
  <c r="L52" i="2" s="1"/>
  <c r="K52" i="2"/>
  <c r="J52" i="2"/>
  <c r="I52" i="2"/>
  <c r="F52" i="2"/>
  <c r="Y51" i="2"/>
  <c r="W51" i="2"/>
  <c r="U51" i="2"/>
  <c r="T51" i="2"/>
  <c r="S51" i="2"/>
  <c r="R51" i="2"/>
  <c r="Q51" i="2"/>
  <c r="O51" i="2"/>
  <c r="M51" i="2"/>
  <c r="L51" i="2" s="1"/>
  <c r="K51" i="2"/>
  <c r="J51" i="2"/>
  <c r="F51" i="2"/>
  <c r="I51" i="2" s="1"/>
  <c r="Y50" i="2"/>
  <c r="W50" i="2"/>
  <c r="U50" i="2"/>
  <c r="T50" i="2"/>
  <c r="S50" i="2"/>
  <c r="Q50" i="2"/>
  <c r="O50" i="2"/>
  <c r="N50" i="2"/>
  <c r="M50" i="2"/>
  <c r="L50" i="2" s="1"/>
  <c r="K50" i="2"/>
  <c r="F50" i="2"/>
  <c r="I50" i="2" s="1"/>
  <c r="Y49" i="2"/>
  <c r="W49" i="2"/>
  <c r="U49" i="2"/>
  <c r="T49" i="2"/>
  <c r="S49" i="2"/>
  <c r="R49" i="2"/>
  <c r="Q49" i="2"/>
  <c r="P49" i="2" s="1"/>
  <c r="O49" i="2"/>
  <c r="N49" i="2"/>
  <c r="M49" i="2"/>
  <c r="L49" i="2" s="1"/>
  <c r="K49" i="2"/>
  <c r="J49" i="2"/>
  <c r="F49" i="2"/>
  <c r="I49" i="2" s="1"/>
  <c r="Y48" i="2"/>
  <c r="W48" i="2"/>
  <c r="U48" i="2"/>
  <c r="T48" i="2" s="1"/>
  <c r="S48" i="2"/>
  <c r="R48" i="2"/>
  <c r="Q48" i="2"/>
  <c r="P48" i="2"/>
  <c r="O48" i="2"/>
  <c r="M48" i="2"/>
  <c r="L48" i="2" s="1"/>
  <c r="K48" i="2"/>
  <c r="F48" i="2"/>
  <c r="I48" i="2" s="1"/>
  <c r="Y47" i="2"/>
  <c r="W47" i="2"/>
  <c r="U47" i="2"/>
  <c r="S47" i="2"/>
  <c r="Q47" i="2"/>
  <c r="P47" i="2"/>
  <c r="O47" i="2"/>
  <c r="N47" i="2"/>
  <c r="M47" i="2"/>
  <c r="L47" i="2" s="1"/>
  <c r="K47" i="2"/>
  <c r="J47" i="2"/>
  <c r="F47" i="2"/>
  <c r="I47" i="2" s="1"/>
  <c r="R47" i="2" s="1"/>
  <c r="Y46" i="2"/>
  <c r="W46" i="2"/>
  <c r="U46" i="2"/>
  <c r="T46" i="2"/>
  <c r="S46" i="2"/>
  <c r="Q46" i="2"/>
  <c r="O46" i="2"/>
  <c r="N46" i="2"/>
  <c r="M46" i="2"/>
  <c r="L46" i="2" s="1"/>
  <c r="K46" i="2"/>
  <c r="J46" i="2"/>
  <c r="F46" i="2"/>
  <c r="I46" i="2" s="1"/>
  <c r="Y45" i="2"/>
  <c r="W45" i="2"/>
  <c r="U45" i="2"/>
  <c r="T45" i="2"/>
  <c r="S45" i="2"/>
  <c r="Q45" i="2"/>
  <c r="O45" i="2"/>
  <c r="N45" i="2"/>
  <c r="M45" i="2"/>
  <c r="L45" i="2" s="1"/>
  <c r="K45" i="2"/>
  <c r="J45" i="2"/>
  <c r="F45" i="2"/>
  <c r="I45" i="2" s="1"/>
  <c r="R45" i="2" s="1"/>
  <c r="Y44" i="2"/>
  <c r="W44" i="2"/>
  <c r="U44" i="2"/>
  <c r="T44" i="2" s="1"/>
  <c r="S44" i="2"/>
  <c r="R44" i="2"/>
  <c r="Q44" i="2"/>
  <c r="O44" i="2"/>
  <c r="N44" i="2"/>
  <c r="M44" i="2"/>
  <c r="L44" i="2" s="1"/>
  <c r="K44" i="2"/>
  <c r="J44" i="2"/>
  <c r="F44" i="2"/>
  <c r="I44" i="2" s="1"/>
  <c r="P44" i="2" s="1"/>
  <c r="Y43" i="2"/>
  <c r="W43" i="2"/>
  <c r="U43" i="2"/>
  <c r="T43" i="2"/>
  <c r="S43" i="2"/>
  <c r="R43" i="2" s="1"/>
  <c r="Q43" i="2"/>
  <c r="P43" i="2"/>
  <c r="O43" i="2"/>
  <c r="N43" i="2"/>
  <c r="M43" i="2"/>
  <c r="L43" i="2" s="1"/>
  <c r="K43" i="2"/>
  <c r="J43" i="2"/>
  <c r="F43" i="2"/>
  <c r="I43" i="2" s="1"/>
  <c r="Y42" i="2"/>
  <c r="W42" i="2"/>
  <c r="U42" i="2"/>
  <c r="S42" i="2"/>
  <c r="R42" i="2"/>
  <c r="Q42" i="2"/>
  <c r="O42" i="2"/>
  <c r="M42" i="2"/>
  <c r="L42" i="2" s="1"/>
  <c r="K42" i="2"/>
  <c r="J42" i="2" s="1"/>
  <c r="F42" i="2"/>
  <c r="I42" i="2" s="1"/>
  <c r="Y41" i="2"/>
  <c r="W41" i="2"/>
  <c r="U41" i="2"/>
  <c r="T41" i="2"/>
  <c r="S41" i="2"/>
  <c r="R41" i="2"/>
  <c r="Q41" i="2"/>
  <c r="P41" i="2"/>
  <c r="O41" i="2"/>
  <c r="M41" i="2"/>
  <c r="L41" i="2" s="1"/>
  <c r="K41" i="2"/>
  <c r="J41" i="2"/>
  <c r="F41" i="2"/>
  <c r="I41" i="2" s="1"/>
  <c r="N41" i="2" s="1"/>
  <c r="Y40" i="2"/>
  <c r="W40" i="2"/>
  <c r="U40" i="2"/>
  <c r="T40" i="2"/>
  <c r="S40" i="2"/>
  <c r="R40" i="2"/>
  <c r="Q40" i="2"/>
  <c r="P40" i="2"/>
  <c r="O40" i="2"/>
  <c r="N40" i="2"/>
  <c r="M40" i="2"/>
  <c r="L40" i="2"/>
  <c r="K40" i="2"/>
  <c r="J40" i="2"/>
  <c r="F40" i="2"/>
  <c r="I40" i="2" s="1"/>
  <c r="Y39" i="2"/>
  <c r="W39" i="2"/>
  <c r="U39" i="2"/>
  <c r="T39" i="2"/>
  <c r="S39" i="2"/>
  <c r="R39" i="2"/>
  <c r="Q39" i="2"/>
  <c r="P39" i="2"/>
  <c r="O39" i="2"/>
  <c r="N39" i="2"/>
  <c r="M39" i="2"/>
  <c r="L39" i="2" s="1"/>
  <c r="K39" i="2"/>
  <c r="J39" i="2"/>
  <c r="I39" i="2"/>
  <c r="F39" i="2"/>
  <c r="Y38" i="2"/>
  <c r="W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F38" i="2"/>
  <c r="Y37" i="2"/>
  <c r="W37" i="2"/>
  <c r="U37" i="2"/>
  <c r="T37" i="2"/>
  <c r="S37" i="2"/>
  <c r="R37" i="2"/>
  <c r="Q37" i="2"/>
  <c r="P37" i="2"/>
  <c r="O37" i="2"/>
  <c r="N37" i="2"/>
  <c r="M37" i="2"/>
  <c r="L37" i="2" s="1"/>
  <c r="K37" i="2"/>
  <c r="J37" i="2"/>
  <c r="I37" i="2"/>
  <c r="F37" i="2"/>
  <c r="Y36" i="2"/>
  <c r="W36" i="2"/>
  <c r="U36" i="2"/>
  <c r="T36" i="2"/>
  <c r="S36" i="2"/>
  <c r="R36" i="2"/>
  <c r="Q36" i="2"/>
  <c r="P36" i="2"/>
  <c r="O36" i="2"/>
  <c r="N36" i="2"/>
  <c r="M36" i="2"/>
  <c r="L36" i="2" s="1"/>
  <c r="K36" i="2"/>
  <c r="F36" i="2"/>
  <c r="I36" i="2" s="1"/>
  <c r="J36" i="2" s="1"/>
  <c r="Y35" i="2"/>
  <c r="W35" i="2"/>
  <c r="U35" i="2"/>
  <c r="S35" i="2"/>
  <c r="R35" i="2"/>
  <c r="Q35" i="2"/>
  <c r="P35" i="2"/>
  <c r="O35" i="2"/>
  <c r="M35" i="2"/>
  <c r="L35" i="2" s="1"/>
  <c r="K35" i="2"/>
  <c r="J35" i="2"/>
  <c r="F35" i="2"/>
  <c r="I35" i="2" s="1"/>
  <c r="Y34" i="2"/>
  <c r="W34" i="2"/>
  <c r="U34" i="2"/>
  <c r="T34" i="2"/>
  <c r="S34" i="2"/>
  <c r="R34" i="2"/>
  <c r="Q34" i="2"/>
  <c r="P34" i="2"/>
  <c r="O34" i="2"/>
  <c r="N34" i="2"/>
  <c r="M34" i="2"/>
  <c r="L34" i="2"/>
  <c r="K34" i="2"/>
  <c r="J34" i="2"/>
  <c r="F34" i="2"/>
  <c r="I34" i="2" s="1"/>
  <c r="Y33" i="2"/>
  <c r="W33" i="2"/>
  <c r="U33" i="2"/>
  <c r="T33" i="2"/>
  <c r="S33" i="2"/>
  <c r="R33" i="2"/>
  <c r="Q33" i="2"/>
  <c r="O33" i="2"/>
  <c r="N33" i="2"/>
  <c r="M33" i="2"/>
  <c r="L33" i="2" s="1"/>
  <c r="K33" i="2"/>
  <c r="J33" i="2"/>
  <c r="F33" i="2"/>
  <c r="I33" i="2" s="1"/>
  <c r="P33" i="2" s="1"/>
  <c r="Y32" i="2"/>
  <c r="W32" i="2"/>
  <c r="U32" i="2"/>
  <c r="S32" i="2"/>
  <c r="R32" i="2"/>
  <c r="Q32" i="2"/>
  <c r="O32" i="2"/>
  <c r="N32" i="2"/>
  <c r="M32" i="2"/>
  <c r="L32" i="2"/>
  <c r="K32" i="2"/>
  <c r="J32" i="2"/>
  <c r="F32" i="2"/>
  <c r="I32" i="2" s="1"/>
  <c r="Y31" i="2"/>
  <c r="W31" i="2"/>
  <c r="U31" i="2"/>
  <c r="T31" i="2" s="1"/>
  <c r="S31" i="2"/>
  <c r="R31" i="2"/>
  <c r="Q31" i="2"/>
  <c r="O31" i="2"/>
  <c r="N31" i="2"/>
  <c r="M31" i="2"/>
  <c r="L31" i="2" s="1"/>
  <c r="K31" i="2"/>
  <c r="J31" i="2"/>
  <c r="F31" i="2"/>
  <c r="I31" i="2" s="1"/>
  <c r="P31" i="2" s="1"/>
  <c r="Y30" i="2"/>
  <c r="W30" i="2"/>
  <c r="U30" i="2"/>
  <c r="S30" i="2"/>
  <c r="R30" i="2"/>
  <c r="Q30" i="2"/>
  <c r="O30" i="2"/>
  <c r="M30" i="2"/>
  <c r="K30" i="2"/>
  <c r="F30" i="2"/>
  <c r="I30" i="2" s="1"/>
  <c r="Y29" i="2"/>
  <c r="W29" i="2"/>
  <c r="U29" i="2"/>
  <c r="T29" i="2"/>
  <c r="S29" i="2"/>
  <c r="R29" i="2" s="1"/>
  <c r="Q29" i="2"/>
  <c r="O29" i="2"/>
  <c r="N29" i="2"/>
  <c r="M29" i="2"/>
  <c r="L29" i="2" s="1"/>
  <c r="K29" i="2"/>
  <c r="J29" i="2"/>
  <c r="F29" i="2"/>
  <c r="I29" i="2" s="1"/>
  <c r="Y28" i="2"/>
  <c r="W28" i="2"/>
  <c r="U28" i="2"/>
  <c r="T28" i="2"/>
  <c r="S28" i="2"/>
  <c r="R28" i="2"/>
  <c r="Q28" i="2"/>
  <c r="P28" i="2"/>
  <c r="O28" i="2"/>
  <c r="N28" i="2"/>
  <c r="M28" i="2"/>
  <c r="L28" i="2"/>
  <c r="K28" i="2"/>
  <c r="F28" i="2"/>
  <c r="I28" i="2" s="1"/>
  <c r="J28" i="2" s="1"/>
  <c r="Y27" i="2"/>
  <c r="W27" i="2"/>
  <c r="U27" i="2"/>
  <c r="T27" i="2"/>
  <c r="S27" i="2"/>
  <c r="R27" i="2"/>
  <c r="Q27" i="2"/>
  <c r="O27" i="2"/>
  <c r="N27" i="2"/>
  <c r="M27" i="2"/>
  <c r="L27" i="2" s="1"/>
  <c r="K27" i="2"/>
  <c r="F27" i="2"/>
  <c r="I27" i="2" s="1"/>
  <c r="Y26" i="2"/>
  <c r="W26" i="2"/>
  <c r="U26" i="2"/>
  <c r="T26" i="2"/>
  <c r="S26" i="2"/>
  <c r="R26" i="2"/>
  <c r="Q26" i="2"/>
  <c r="P26" i="2"/>
  <c r="O26" i="2"/>
  <c r="N26" i="2"/>
  <c r="M26" i="2"/>
  <c r="L26" i="2" s="1"/>
  <c r="K26" i="2"/>
  <c r="J26" i="2"/>
  <c r="F26" i="2"/>
  <c r="I26" i="2" s="1"/>
  <c r="Y25" i="2"/>
  <c r="W25" i="2"/>
  <c r="U25" i="2"/>
  <c r="S25" i="2"/>
  <c r="R25" i="2"/>
  <c r="Q25" i="2"/>
  <c r="P25" i="2" s="1"/>
  <c r="O25" i="2"/>
  <c r="M25" i="2"/>
  <c r="K25" i="2"/>
  <c r="I25" i="2"/>
  <c r="T25" i="2" s="1"/>
  <c r="F25" i="2"/>
  <c r="Y24" i="2"/>
  <c r="W24" i="2"/>
  <c r="U24" i="2"/>
  <c r="T24" i="2"/>
  <c r="S24" i="2"/>
  <c r="R24" i="2"/>
  <c r="Q24" i="2"/>
  <c r="P24" i="2"/>
  <c r="O24" i="2"/>
  <c r="M24" i="2"/>
  <c r="L24" i="2"/>
  <c r="K24" i="2"/>
  <c r="J24" i="2"/>
  <c r="I24" i="2"/>
  <c r="N24" i="2" s="1"/>
  <c r="F24" i="2"/>
  <c r="Y23" i="2"/>
  <c r="W23" i="2"/>
  <c r="U23" i="2"/>
  <c r="T23" i="2" s="1"/>
  <c r="S23" i="2"/>
  <c r="R23" i="2"/>
  <c r="Q23" i="2"/>
  <c r="P23" i="2"/>
  <c r="O23" i="2"/>
  <c r="N23" i="2"/>
  <c r="M23" i="2"/>
  <c r="L23" i="2" s="1"/>
  <c r="K23" i="2"/>
  <c r="J23" i="2"/>
  <c r="I23" i="2"/>
  <c r="F23" i="2"/>
  <c r="Y22" i="2"/>
  <c r="W22" i="2"/>
  <c r="U22" i="2"/>
  <c r="T22" i="2"/>
  <c r="S22" i="2"/>
  <c r="R22" i="2"/>
  <c r="Q22" i="2"/>
  <c r="P22" i="2"/>
  <c r="O22" i="2"/>
  <c r="N22" i="2"/>
  <c r="M22" i="2"/>
  <c r="L22" i="2"/>
  <c r="K22" i="2"/>
  <c r="J22" i="2"/>
  <c r="F22" i="2"/>
  <c r="I22" i="2" s="1"/>
  <c r="Y21" i="2"/>
  <c r="W21" i="2"/>
  <c r="U21" i="2"/>
  <c r="T21" i="2"/>
  <c r="S21" i="2"/>
  <c r="R21" i="2"/>
  <c r="Q21" i="2"/>
  <c r="P21" i="2"/>
  <c r="O21" i="2"/>
  <c r="M21" i="2"/>
  <c r="L21" i="2" s="1"/>
  <c r="K21" i="2"/>
  <c r="J21" i="2"/>
  <c r="I21" i="2"/>
  <c r="N21" i="2" s="1"/>
  <c r="F21" i="2"/>
  <c r="Y20" i="2"/>
  <c r="W20" i="2"/>
  <c r="U20" i="2"/>
  <c r="S20" i="2"/>
  <c r="R20" i="2"/>
  <c r="Q20" i="2"/>
  <c r="P20" i="2"/>
  <c r="O20" i="2"/>
  <c r="N20" i="2"/>
  <c r="M20" i="2"/>
  <c r="L20" i="2"/>
  <c r="K20" i="2"/>
  <c r="J20" i="2"/>
  <c r="H20" i="2"/>
  <c r="I20" i="2" s="1"/>
  <c r="T20" i="2" s="1"/>
  <c r="F20" i="2"/>
  <c r="Y19" i="2"/>
  <c r="W19" i="2"/>
  <c r="U19" i="2"/>
  <c r="T19" i="2"/>
  <c r="S19" i="2"/>
  <c r="Q19" i="2"/>
  <c r="O19" i="2"/>
  <c r="N19" i="2"/>
  <c r="M19" i="2"/>
  <c r="L19" i="2" s="1"/>
  <c r="K19" i="2"/>
  <c r="J19" i="2"/>
  <c r="F19" i="2"/>
  <c r="I19" i="2" s="1"/>
  <c r="R19" i="2" s="1"/>
  <c r="Y18" i="2"/>
  <c r="W18" i="2"/>
  <c r="U18" i="2"/>
  <c r="T18" i="2" s="1"/>
  <c r="S18" i="2"/>
  <c r="R18" i="2" s="1"/>
  <c r="Q18" i="2"/>
  <c r="P18" i="2" s="1"/>
  <c r="O18" i="2"/>
  <c r="N18" i="2" s="1"/>
  <c r="M18" i="2"/>
  <c r="L18" i="2"/>
  <c r="K18" i="2"/>
  <c r="F18" i="2"/>
  <c r="I18" i="2" s="1"/>
  <c r="Y17" i="2"/>
  <c r="W17" i="2"/>
  <c r="U17" i="2"/>
  <c r="T17" i="2"/>
  <c r="S17" i="2"/>
  <c r="R17" i="2"/>
  <c r="Q17" i="2"/>
  <c r="P17" i="2" s="1"/>
  <c r="O17" i="2"/>
  <c r="N17" i="2"/>
  <c r="M17" i="2"/>
  <c r="L17" i="2"/>
  <c r="K17" i="2"/>
  <c r="I17" i="2"/>
  <c r="J17" i="2" s="1"/>
  <c r="F17" i="2"/>
  <c r="Y16" i="2"/>
  <c r="W16" i="2"/>
  <c r="U16" i="2"/>
  <c r="T16" i="2" s="1"/>
  <c r="S16" i="2"/>
  <c r="R16" i="2" s="1"/>
  <c r="Q16" i="2"/>
  <c r="P16" i="2" s="1"/>
  <c r="O16" i="2"/>
  <c r="N16" i="2"/>
  <c r="M16" i="2"/>
  <c r="L16" i="2"/>
  <c r="K16" i="2"/>
  <c r="J16" i="2"/>
  <c r="F16" i="2"/>
  <c r="I16" i="2" s="1"/>
  <c r="Y15" i="2"/>
  <c r="W15" i="2"/>
  <c r="U15" i="2"/>
  <c r="T15" i="2"/>
  <c r="S15" i="2"/>
  <c r="Q15" i="2"/>
  <c r="P15" i="2" s="1"/>
  <c r="O15" i="2"/>
  <c r="N15" i="2"/>
  <c r="M15" i="2"/>
  <c r="K15" i="2"/>
  <c r="J15" i="2"/>
  <c r="I15" i="2"/>
  <c r="R15" i="2" s="1"/>
  <c r="F15" i="2"/>
  <c r="Y14" i="2"/>
  <c r="W14" i="2"/>
  <c r="U14" i="2"/>
  <c r="S14" i="2"/>
  <c r="R14" i="2" s="1"/>
  <c r="Q14" i="2"/>
  <c r="O14" i="2"/>
  <c r="N14" i="2"/>
  <c r="M14" i="2"/>
  <c r="L14" i="2"/>
  <c r="K14" i="2"/>
  <c r="J14" i="2" s="1"/>
  <c r="I14" i="2"/>
  <c r="F14" i="2"/>
  <c r="Y13" i="2"/>
  <c r="W13" i="2"/>
  <c r="U13" i="2"/>
  <c r="T13" i="2"/>
  <c r="S13" i="2"/>
  <c r="Q13" i="2"/>
  <c r="P13" i="2" s="1"/>
  <c r="O13" i="2"/>
  <c r="N13" i="2"/>
  <c r="M13" i="2"/>
  <c r="L13" i="2"/>
  <c r="K13" i="2"/>
  <c r="J13" i="2"/>
  <c r="F13" i="2"/>
  <c r="I13" i="2" s="1"/>
  <c r="R13" i="2" s="1"/>
  <c r="Y12" i="2"/>
  <c r="W12" i="2"/>
  <c r="U12" i="2"/>
  <c r="T12" i="2" s="1"/>
  <c r="S12" i="2"/>
  <c r="R12" i="2" s="1"/>
  <c r="Q12" i="2"/>
  <c r="O12" i="2"/>
  <c r="N12" i="2"/>
  <c r="M12" i="2"/>
  <c r="L12" i="2" s="1"/>
  <c r="K12" i="2"/>
  <c r="J12" i="2"/>
  <c r="F12" i="2"/>
  <c r="I12" i="2" s="1"/>
  <c r="Y11" i="2"/>
  <c r="W11" i="2"/>
  <c r="U11" i="2"/>
  <c r="T11" i="2" s="1"/>
  <c r="S11" i="2"/>
  <c r="Q11" i="2"/>
  <c r="O11" i="2"/>
  <c r="N11" i="2"/>
  <c r="M11" i="2"/>
  <c r="L11" i="2"/>
  <c r="K11" i="2"/>
  <c r="J11" i="2"/>
  <c r="F11" i="2"/>
  <c r="I11" i="2" s="1"/>
  <c r="R11" i="2" s="1"/>
  <c r="Y10" i="2"/>
  <c r="W10" i="2"/>
  <c r="U10" i="2"/>
  <c r="T10" i="2" s="1"/>
  <c r="S10" i="2"/>
  <c r="R10" i="2" s="1"/>
  <c r="Q10" i="2"/>
  <c r="P10" i="2" s="1"/>
  <c r="O10" i="2"/>
  <c r="N10" i="2"/>
  <c r="M10" i="2"/>
  <c r="L10" i="2" s="1"/>
  <c r="K10" i="2"/>
  <c r="J10" i="2"/>
  <c r="I10" i="2"/>
  <c r="F10" i="2"/>
  <c r="Y9" i="2"/>
  <c r="W9" i="2"/>
  <c r="U9" i="2"/>
  <c r="S9" i="2"/>
  <c r="Q9" i="2"/>
  <c r="P9" i="2" s="1"/>
  <c r="O9" i="2"/>
  <c r="N9" i="2" s="1"/>
  <c r="M9" i="2"/>
  <c r="L9" i="2" s="1"/>
  <c r="K9" i="2"/>
  <c r="J9" i="2"/>
  <c r="F9" i="2"/>
  <c r="I9" i="2" s="1"/>
  <c r="Y8" i="2"/>
  <c r="W8" i="2"/>
  <c r="U8" i="2"/>
  <c r="T8" i="2" s="1"/>
  <c r="S8" i="2"/>
  <c r="R8" i="2" s="1"/>
  <c r="Q8" i="2"/>
  <c r="O8" i="2"/>
  <c r="N8" i="2"/>
  <c r="M8" i="2"/>
  <c r="L8" i="2"/>
  <c r="K8" i="2"/>
  <c r="J8" i="2"/>
  <c r="F8" i="2"/>
  <c r="I8" i="2" s="1"/>
  <c r="Y7" i="2"/>
  <c r="W7" i="2"/>
  <c r="U7" i="2"/>
  <c r="T7" i="2" s="1"/>
  <c r="S7" i="2"/>
  <c r="Q7" i="2"/>
  <c r="O7" i="2"/>
  <c r="N7" i="2"/>
  <c r="M7" i="2"/>
  <c r="L7" i="2"/>
  <c r="K7" i="2"/>
  <c r="I7" i="2"/>
  <c r="F7" i="2"/>
  <c r="Y6" i="2"/>
  <c r="W6" i="2"/>
  <c r="U6" i="2"/>
  <c r="T6" i="2" s="1"/>
  <c r="S6" i="2"/>
  <c r="R6" i="2" s="1"/>
  <c r="Q6" i="2"/>
  <c r="O6" i="2"/>
  <c r="N6" i="2" s="1"/>
  <c r="M6" i="2"/>
  <c r="L6" i="2"/>
  <c r="K6" i="2"/>
  <c r="J6" i="2"/>
  <c r="F6" i="2"/>
  <c r="I6" i="2" s="1"/>
  <c r="Y5" i="2"/>
  <c r="W5" i="2"/>
  <c r="U5" i="2"/>
  <c r="T5" i="2"/>
  <c r="S5" i="2"/>
  <c r="R5" i="2" s="1"/>
  <c r="Q5" i="2"/>
  <c r="O5" i="2"/>
  <c r="N5" i="2"/>
  <c r="M5" i="2"/>
  <c r="L5" i="2" s="1"/>
  <c r="K5" i="2"/>
  <c r="F5" i="2"/>
  <c r="I5" i="2" s="1"/>
  <c r="J5" i="2" s="1"/>
  <c r="Y4" i="2"/>
  <c r="W4" i="2"/>
  <c r="U4" i="2"/>
  <c r="S4" i="2"/>
  <c r="Q4" i="2"/>
  <c r="O4" i="2"/>
  <c r="M4" i="2"/>
  <c r="K4" i="2"/>
  <c r="F4" i="2"/>
  <c r="Y240" i="1"/>
  <c r="X240" i="1" s="1"/>
  <c r="W240" i="1"/>
  <c r="V240" i="1"/>
  <c r="U240" i="1"/>
  <c r="S240" i="1"/>
  <c r="R240" i="1"/>
  <c r="Q240" i="1"/>
  <c r="P240" i="1"/>
  <c r="O240" i="1"/>
  <c r="N240" i="1"/>
  <c r="M240" i="1"/>
  <c r="L240" i="1"/>
  <c r="K240" i="1"/>
  <c r="J240" i="1" s="1"/>
  <c r="F240" i="1"/>
  <c r="I240" i="1" s="1"/>
  <c r="Y239" i="1"/>
  <c r="X239" i="1"/>
  <c r="W239" i="1"/>
  <c r="V239" i="1" s="1"/>
  <c r="U239" i="1"/>
  <c r="S239" i="1"/>
  <c r="R239" i="1" s="1"/>
  <c r="Q239" i="1"/>
  <c r="P239" i="1"/>
  <c r="O239" i="1"/>
  <c r="N239" i="1"/>
  <c r="M239" i="1"/>
  <c r="L239" i="1"/>
  <c r="K239" i="1"/>
  <c r="J239" i="1"/>
  <c r="F239" i="1"/>
  <c r="I239" i="1" s="1"/>
  <c r="Y238" i="1"/>
  <c r="X238" i="1"/>
  <c r="W238" i="1"/>
  <c r="V238" i="1"/>
  <c r="U238" i="1"/>
  <c r="S238" i="1"/>
  <c r="R238" i="1"/>
  <c r="Q238" i="1"/>
  <c r="P238" i="1"/>
  <c r="O238" i="1"/>
  <c r="N238" i="1"/>
  <c r="M238" i="1"/>
  <c r="L238" i="1" s="1"/>
  <c r="K238" i="1"/>
  <c r="J238" i="1"/>
  <c r="F238" i="1"/>
  <c r="I238" i="1" s="1"/>
  <c r="Y237" i="1"/>
  <c r="X237" i="1"/>
  <c r="W237" i="1"/>
  <c r="V237" i="1"/>
  <c r="U237" i="1"/>
  <c r="S237" i="1"/>
  <c r="R237" i="1"/>
  <c r="Q237" i="1"/>
  <c r="P237" i="1"/>
  <c r="O237" i="1"/>
  <c r="N237" i="1"/>
  <c r="M237" i="1"/>
  <c r="L237" i="1"/>
  <c r="K237" i="1"/>
  <c r="J237" i="1"/>
  <c r="F237" i="1"/>
  <c r="I237" i="1" s="1"/>
  <c r="Y236" i="1"/>
  <c r="X236" i="1"/>
  <c r="W236" i="1"/>
  <c r="V236" i="1"/>
  <c r="U236" i="1"/>
  <c r="S236" i="1"/>
  <c r="R236" i="1"/>
  <c r="Q236" i="1"/>
  <c r="P236" i="1"/>
  <c r="O236" i="1"/>
  <c r="N236" i="1" s="1"/>
  <c r="M236" i="1"/>
  <c r="L236" i="1"/>
  <c r="K236" i="1"/>
  <c r="J236" i="1" s="1"/>
  <c r="F236" i="1"/>
  <c r="I236" i="1" s="1"/>
  <c r="Y235" i="1"/>
  <c r="X235" i="1"/>
  <c r="W235" i="1"/>
  <c r="V235" i="1"/>
  <c r="U235" i="1"/>
  <c r="S235" i="1"/>
  <c r="R235" i="1"/>
  <c r="Q235" i="1"/>
  <c r="P235" i="1"/>
  <c r="O235" i="1"/>
  <c r="N235" i="1"/>
  <c r="M235" i="1"/>
  <c r="L235" i="1"/>
  <c r="K235" i="1"/>
  <c r="J235" i="1"/>
  <c r="F235" i="1"/>
  <c r="I235" i="1" s="1"/>
  <c r="Y234" i="1"/>
  <c r="X234" i="1"/>
  <c r="W234" i="1"/>
  <c r="V234" i="1" s="1"/>
  <c r="U234" i="1"/>
  <c r="S234" i="1"/>
  <c r="R234" i="1"/>
  <c r="Q234" i="1"/>
  <c r="P234" i="1" s="1"/>
  <c r="O234" i="1"/>
  <c r="N234" i="1" s="1"/>
  <c r="M234" i="1"/>
  <c r="L234" i="1"/>
  <c r="K234" i="1"/>
  <c r="J234" i="1"/>
  <c r="I234" i="1"/>
  <c r="F234" i="1"/>
  <c r="Y233" i="1"/>
  <c r="X233" i="1"/>
  <c r="W233" i="1"/>
  <c r="V233" i="1" s="1"/>
  <c r="U233" i="1"/>
  <c r="S233" i="1"/>
  <c r="R233" i="1"/>
  <c r="Q233" i="1"/>
  <c r="P233" i="1"/>
  <c r="O233" i="1"/>
  <c r="N233" i="1"/>
  <c r="M233" i="1"/>
  <c r="L233" i="1"/>
  <c r="K233" i="1"/>
  <c r="J233" i="1"/>
  <c r="F233" i="1"/>
  <c r="I233" i="1" s="1"/>
  <c r="Y232" i="1"/>
  <c r="X232" i="1"/>
  <c r="W232" i="1"/>
  <c r="V232" i="1" s="1"/>
  <c r="U232" i="1"/>
  <c r="S232" i="1"/>
  <c r="R232" i="1" s="1"/>
  <c r="Q232" i="1"/>
  <c r="P232" i="1" s="1"/>
  <c r="O232" i="1"/>
  <c r="N232" i="1"/>
  <c r="M232" i="1"/>
  <c r="L232" i="1"/>
  <c r="K232" i="1"/>
  <c r="J232" i="1"/>
  <c r="F232" i="1"/>
  <c r="I232" i="1" s="1"/>
  <c r="Y231" i="1"/>
  <c r="X231" i="1" s="1"/>
  <c r="W231" i="1"/>
  <c r="V231" i="1" s="1"/>
  <c r="U231" i="1"/>
  <c r="S231" i="1"/>
  <c r="R231" i="1"/>
  <c r="Q231" i="1"/>
  <c r="P231" i="1"/>
  <c r="O231" i="1"/>
  <c r="N231" i="1"/>
  <c r="M231" i="1"/>
  <c r="L231" i="1"/>
  <c r="K231" i="1"/>
  <c r="J231" i="1"/>
  <c r="F231" i="1"/>
  <c r="I231" i="1" s="1"/>
  <c r="Y230" i="1"/>
  <c r="X230" i="1"/>
  <c r="W230" i="1"/>
  <c r="V230" i="1"/>
  <c r="U230" i="1"/>
  <c r="S230" i="1"/>
  <c r="R230" i="1"/>
  <c r="Q230" i="1"/>
  <c r="P230" i="1"/>
  <c r="O230" i="1"/>
  <c r="N230" i="1"/>
  <c r="M230" i="1"/>
  <c r="L230" i="1" s="1"/>
  <c r="K230" i="1"/>
  <c r="I230" i="1"/>
  <c r="J230" i="1" s="1"/>
  <c r="F230" i="1"/>
  <c r="Y229" i="1"/>
  <c r="X229" i="1" s="1"/>
  <c r="W229" i="1"/>
  <c r="V229" i="1" s="1"/>
  <c r="U229" i="1"/>
  <c r="S229" i="1"/>
  <c r="R229" i="1"/>
  <c r="Q229" i="1"/>
  <c r="P229" i="1" s="1"/>
  <c r="O229" i="1"/>
  <c r="N229" i="1" s="1"/>
  <c r="M229" i="1"/>
  <c r="L229" i="1"/>
  <c r="K229" i="1"/>
  <c r="J229" i="1" s="1"/>
  <c r="F229" i="1"/>
  <c r="I229" i="1" s="1"/>
  <c r="Y228" i="1"/>
  <c r="X228" i="1"/>
  <c r="W228" i="1"/>
  <c r="V228" i="1"/>
  <c r="U228" i="1"/>
  <c r="S228" i="1"/>
  <c r="R228" i="1" s="1"/>
  <c r="Q228" i="1"/>
  <c r="P228" i="1"/>
  <c r="O228" i="1"/>
  <c r="N228" i="1" s="1"/>
  <c r="M228" i="1"/>
  <c r="L228" i="1"/>
  <c r="K228" i="1"/>
  <c r="J228" i="1" s="1"/>
  <c r="I228" i="1"/>
  <c r="F228" i="1"/>
  <c r="Y227" i="1"/>
  <c r="X227" i="1" s="1"/>
  <c r="W227" i="1"/>
  <c r="U227" i="1"/>
  <c r="S227" i="1"/>
  <c r="Q227" i="1"/>
  <c r="P227" i="1" s="1"/>
  <c r="O227" i="1"/>
  <c r="N227" i="1" s="1"/>
  <c r="M227" i="1"/>
  <c r="L227" i="1"/>
  <c r="K227" i="1"/>
  <c r="F227" i="1"/>
  <c r="I227" i="1" s="1"/>
  <c r="Y226" i="1"/>
  <c r="X226" i="1"/>
  <c r="W226" i="1"/>
  <c r="V226" i="1"/>
  <c r="U226" i="1"/>
  <c r="S226" i="1"/>
  <c r="R226" i="1" s="1"/>
  <c r="Q226" i="1"/>
  <c r="O226" i="1"/>
  <c r="N226" i="1"/>
  <c r="M226" i="1"/>
  <c r="L226" i="1" s="1"/>
  <c r="K226" i="1"/>
  <c r="J226" i="1" s="1"/>
  <c r="I226" i="1"/>
  <c r="P226" i="1" s="1"/>
  <c r="F226" i="1"/>
  <c r="Y225" i="1"/>
  <c r="X225" i="1"/>
  <c r="W225" i="1"/>
  <c r="V225" i="1" s="1"/>
  <c r="U225" i="1"/>
  <c r="S225" i="1"/>
  <c r="R225" i="1"/>
  <c r="Q225" i="1"/>
  <c r="O225" i="1"/>
  <c r="N225" i="1"/>
  <c r="M225" i="1"/>
  <c r="L225" i="1"/>
  <c r="K225" i="1"/>
  <c r="J225" i="1"/>
  <c r="F225" i="1"/>
  <c r="I225" i="1" s="1"/>
  <c r="Y224" i="1"/>
  <c r="X224" i="1" s="1"/>
  <c r="W224" i="1"/>
  <c r="V224" i="1"/>
  <c r="U224" i="1"/>
  <c r="S224" i="1"/>
  <c r="R224" i="1"/>
  <c r="Q224" i="1"/>
  <c r="O224" i="1"/>
  <c r="N224" i="1" s="1"/>
  <c r="M224" i="1"/>
  <c r="K224" i="1"/>
  <c r="F224" i="1"/>
  <c r="I224" i="1" s="1"/>
  <c r="P224" i="1" s="1"/>
  <c r="Y223" i="1"/>
  <c r="W223" i="1"/>
  <c r="V223" i="1"/>
  <c r="U223" i="1"/>
  <c r="S223" i="1"/>
  <c r="R223" i="1" s="1"/>
  <c r="Q223" i="1"/>
  <c r="P223" i="1"/>
  <c r="O223" i="1"/>
  <c r="N223" i="1"/>
  <c r="M223" i="1"/>
  <c r="K223" i="1"/>
  <c r="J223" i="1"/>
  <c r="F223" i="1"/>
  <c r="I223" i="1" s="1"/>
  <c r="L223" i="1" s="1"/>
  <c r="Y222" i="1"/>
  <c r="X222" i="1"/>
  <c r="W222" i="1"/>
  <c r="V222" i="1"/>
  <c r="U222" i="1"/>
  <c r="S222" i="1"/>
  <c r="R222" i="1"/>
  <c r="Q222" i="1"/>
  <c r="P222" i="1" s="1"/>
  <c r="O222" i="1"/>
  <c r="N222" i="1" s="1"/>
  <c r="M222" i="1"/>
  <c r="L222" i="1" s="1"/>
  <c r="K222" i="1"/>
  <c r="J222" i="1"/>
  <c r="F222" i="1"/>
  <c r="I222" i="1" s="1"/>
  <c r="Y221" i="1"/>
  <c r="X221" i="1"/>
  <c r="W221" i="1"/>
  <c r="V221" i="1"/>
  <c r="U221" i="1"/>
  <c r="S221" i="1"/>
  <c r="R221" i="1"/>
  <c r="Q221" i="1"/>
  <c r="O221" i="1"/>
  <c r="N221" i="1" s="1"/>
  <c r="M221" i="1"/>
  <c r="K221" i="1"/>
  <c r="F221" i="1"/>
  <c r="I221" i="1" s="1"/>
  <c r="Y220" i="1"/>
  <c r="X220" i="1"/>
  <c r="W220" i="1"/>
  <c r="V220" i="1" s="1"/>
  <c r="U220" i="1"/>
  <c r="S220" i="1"/>
  <c r="R220" i="1" s="1"/>
  <c r="Q220" i="1"/>
  <c r="P220" i="1" s="1"/>
  <c r="O220" i="1"/>
  <c r="M220" i="1"/>
  <c r="L220" i="1"/>
  <c r="K220" i="1"/>
  <c r="J220" i="1"/>
  <c r="F220" i="1"/>
  <c r="I220" i="1" s="1"/>
  <c r="Y219" i="1"/>
  <c r="X219" i="1"/>
  <c r="W219" i="1"/>
  <c r="V219" i="1"/>
  <c r="U219" i="1"/>
  <c r="S219" i="1"/>
  <c r="R219" i="1"/>
  <c r="Q219" i="1"/>
  <c r="P219" i="1"/>
  <c r="O219" i="1"/>
  <c r="N219" i="1"/>
  <c r="M219" i="1"/>
  <c r="L219" i="1"/>
  <c r="K219" i="1"/>
  <c r="J219" i="1"/>
  <c r="I219" i="1"/>
  <c r="F219" i="1"/>
  <c r="Y218" i="1"/>
  <c r="W218" i="1"/>
  <c r="V218" i="1"/>
  <c r="U218" i="1"/>
  <c r="S218" i="1"/>
  <c r="R218" i="1" s="1"/>
  <c r="Q218" i="1"/>
  <c r="P218" i="1" s="1"/>
  <c r="O218" i="1"/>
  <c r="N218" i="1"/>
  <c r="M218" i="1"/>
  <c r="L218" i="1"/>
  <c r="K218" i="1"/>
  <c r="J218" i="1"/>
  <c r="I218" i="1"/>
  <c r="F218" i="1"/>
  <c r="Y217" i="1"/>
  <c r="X217" i="1"/>
  <c r="W217" i="1"/>
  <c r="V217" i="1"/>
  <c r="U217" i="1"/>
  <c r="S217" i="1"/>
  <c r="Q217" i="1"/>
  <c r="P217" i="1"/>
  <c r="O217" i="1"/>
  <c r="N217" i="1"/>
  <c r="M217" i="1"/>
  <c r="K217" i="1"/>
  <c r="J217" i="1"/>
  <c r="I217" i="1"/>
  <c r="R217" i="1" s="1"/>
  <c r="F217" i="1"/>
  <c r="Y216" i="1"/>
  <c r="X216" i="1"/>
  <c r="W216" i="1"/>
  <c r="V216" i="1"/>
  <c r="U216" i="1"/>
  <c r="S216" i="1"/>
  <c r="R216" i="1" s="1"/>
  <c r="Q216" i="1"/>
  <c r="P216" i="1"/>
  <c r="O216" i="1"/>
  <c r="M216" i="1"/>
  <c r="L216" i="1"/>
  <c r="K216" i="1"/>
  <c r="J216" i="1"/>
  <c r="I216" i="1"/>
  <c r="N216" i="1" s="1"/>
  <c r="F216" i="1"/>
  <c r="Y215" i="1"/>
  <c r="X215" i="1"/>
  <c r="W215" i="1"/>
  <c r="V215" i="1" s="1"/>
  <c r="U215" i="1"/>
  <c r="S215" i="1"/>
  <c r="R215" i="1"/>
  <c r="Q215" i="1"/>
  <c r="P215" i="1"/>
  <c r="O215" i="1"/>
  <c r="M215" i="1"/>
  <c r="L215" i="1"/>
  <c r="K215" i="1"/>
  <c r="J215" i="1" s="1"/>
  <c r="I215" i="1"/>
  <c r="N215" i="1" s="1"/>
  <c r="F215" i="1"/>
  <c r="Y214" i="1"/>
  <c r="X214" i="1"/>
  <c r="W214" i="1"/>
  <c r="U214" i="1"/>
  <c r="S214" i="1"/>
  <c r="R214" i="1"/>
  <c r="Q214" i="1"/>
  <c r="P214" i="1"/>
  <c r="O214" i="1"/>
  <c r="N214" i="1"/>
  <c r="M214" i="1"/>
  <c r="K214" i="1"/>
  <c r="J214" i="1"/>
  <c r="F214" i="1"/>
  <c r="I214" i="1" s="1"/>
  <c r="V214" i="1" s="1"/>
  <c r="Y213" i="1"/>
  <c r="X213" i="1"/>
  <c r="W213" i="1"/>
  <c r="V213" i="1" s="1"/>
  <c r="U213" i="1"/>
  <c r="S213" i="1"/>
  <c r="R213" i="1"/>
  <c r="Q213" i="1"/>
  <c r="P213" i="1"/>
  <c r="O213" i="1"/>
  <c r="N213" i="1"/>
  <c r="M213" i="1"/>
  <c r="L213" i="1" s="1"/>
  <c r="K213" i="1"/>
  <c r="J213" i="1"/>
  <c r="F213" i="1"/>
  <c r="I213" i="1" s="1"/>
  <c r="Y212" i="1"/>
  <c r="X212" i="1" s="1"/>
  <c r="W212" i="1"/>
  <c r="V212" i="1"/>
  <c r="U212" i="1"/>
  <c r="S212" i="1"/>
  <c r="R212" i="1"/>
  <c r="Q212" i="1"/>
  <c r="O212" i="1"/>
  <c r="N212" i="1"/>
  <c r="M212" i="1"/>
  <c r="L212" i="1"/>
  <c r="K212" i="1"/>
  <c r="F212" i="1"/>
  <c r="I212" i="1" s="1"/>
  <c r="P212" i="1" s="1"/>
  <c r="Y211" i="1"/>
  <c r="X211" i="1" s="1"/>
  <c r="W211" i="1"/>
  <c r="U211" i="1"/>
  <c r="S211" i="1"/>
  <c r="R211" i="1"/>
  <c r="Q211" i="1"/>
  <c r="O211" i="1"/>
  <c r="N211" i="1" s="1"/>
  <c r="M211" i="1"/>
  <c r="K211" i="1"/>
  <c r="J211" i="1"/>
  <c r="F211" i="1"/>
  <c r="I211" i="1" s="1"/>
  <c r="V211" i="1" s="1"/>
  <c r="Y210" i="1"/>
  <c r="X210" i="1"/>
  <c r="W210" i="1"/>
  <c r="V210" i="1"/>
  <c r="U210" i="1"/>
  <c r="S210" i="1"/>
  <c r="R210" i="1" s="1"/>
  <c r="Q210" i="1"/>
  <c r="O210" i="1"/>
  <c r="N210" i="1"/>
  <c r="M210" i="1"/>
  <c r="L210" i="1"/>
  <c r="K210" i="1"/>
  <c r="J210" i="1"/>
  <c r="I210" i="1"/>
  <c r="P210" i="1" s="1"/>
  <c r="F210" i="1"/>
  <c r="Y209" i="1"/>
  <c r="X209" i="1"/>
  <c r="W209" i="1"/>
  <c r="V209" i="1"/>
  <c r="U209" i="1"/>
  <c r="S209" i="1"/>
  <c r="R209" i="1"/>
  <c r="Q209" i="1"/>
  <c r="P209" i="1" s="1"/>
  <c r="O209" i="1"/>
  <c r="N209" i="1"/>
  <c r="M209" i="1"/>
  <c r="L209" i="1"/>
  <c r="K209" i="1"/>
  <c r="F209" i="1"/>
  <c r="I209" i="1" s="1"/>
  <c r="J209" i="1" s="1"/>
  <c r="Y208" i="1"/>
  <c r="X208" i="1" s="1"/>
  <c r="W208" i="1"/>
  <c r="V208" i="1" s="1"/>
  <c r="U208" i="1"/>
  <c r="S208" i="1"/>
  <c r="R208" i="1" s="1"/>
  <c r="Q208" i="1"/>
  <c r="P208" i="1"/>
  <c r="O208" i="1"/>
  <c r="N208" i="1"/>
  <c r="M208" i="1"/>
  <c r="L208" i="1" s="1"/>
  <c r="K208" i="1"/>
  <c r="J208" i="1" s="1"/>
  <c r="F208" i="1"/>
  <c r="I208" i="1" s="1"/>
  <c r="Y207" i="1"/>
  <c r="X207" i="1"/>
  <c r="W207" i="1"/>
  <c r="V207" i="1"/>
  <c r="U207" i="1"/>
  <c r="S207" i="1"/>
  <c r="Q207" i="1"/>
  <c r="P207" i="1"/>
  <c r="O207" i="1"/>
  <c r="N207" i="1"/>
  <c r="M207" i="1"/>
  <c r="L207" i="1" s="1"/>
  <c r="K207" i="1"/>
  <c r="J207" i="1"/>
  <c r="F207" i="1"/>
  <c r="I207" i="1" s="1"/>
  <c r="Y206" i="1"/>
  <c r="X206" i="1" s="1"/>
  <c r="W206" i="1"/>
  <c r="V206" i="1"/>
  <c r="U206" i="1"/>
  <c r="S206" i="1"/>
  <c r="R206" i="1"/>
  <c r="Q206" i="1"/>
  <c r="P206" i="1"/>
  <c r="O206" i="1"/>
  <c r="N206" i="1"/>
  <c r="M206" i="1"/>
  <c r="L206" i="1" s="1"/>
  <c r="K206" i="1"/>
  <c r="F206" i="1"/>
  <c r="I206" i="1" s="1"/>
  <c r="J206" i="1" s="1"/>
  <c r="Y205" i="1"/>
  <c r="X205" i="1"/>
  <c r="W205" i="1"/>
  <c r="V205" i="1" s="1"/>
  <c r="U205" i="1"/>
  <c r="S205" i="1"/>
  <c r="Q205" i="1"/>
  <c r="P205" i="1"/>
  <c r="O205" i="1"/>
  <c r="N205" i="1"/>
  <c r="M205" i="1"/>
  <c r="L205" i="1"/>
  <c r="K205" i="1"/>
  <c r="J205" i="1"/>
  <c r="I205" i="1"/>
  <c r="R205" i="1" s="1"/>
  <c r="F205" i="1"/>
  <c r="Y204" i="1"/>
  <c r="X204" i="1"/>
  <c r="W204" i="1"/>
  <c r="V204" i="1"/>
  <c r="U204" i="1"/>
  <c r="S204" i="1"/>
  <c r="R204" i="1"/>
  <c r="Q204" i="1"/>
  <c r="P204" i="1"/>
  <c r="O204" i="1"/>
  <c r="N204" i="1" s="1"/>
  <c r="M204" i="1"/>
  <c r="L204" i="1"/>
  <c r="K204" i="1"/>
  <c r="J204" i="1"/>
  <c r="I204" i="1"/>
  <c r="F204" i="1"/>
  <c r="Y203" i="1"/>
  <c r="X203" i="1"/>
  <c r="W203" i="1"/>
  <c r="V203" i="1"/>
  <c r="U203" i="1"/>
  <c r="S203" i="1"/>
  <c r="R203" i="1"/>
  <c r="Q203" i="1"/>
  <c r="P203" i="1"/>
  <c r="O203" i="1"/>
  <c r="N203" i="1"/>
  <c r="M203" i="1"/>
  <c r="L203" i="1"/>
  <c r="K203" i="1"/>
  <c r="J203" i="1" s="1"/>
  <c r="I203" i="1"/>
  <c r="F203" i="1"/>
  <c r="Y202" i="1"/>
  <c r="X202" i="1"/>
  <c r="W202" i="1"/>
  <c r="V202" i="1" s="1"/>
  <c r="U202" i="1"/>
  <c r="S202" i="1"/>
  <c r="R202" i="1"/>
  <c r="Q202" i="1"/>
  <c r="P202" i="1" s="1"/>
  <c r="O202" i="1"/>
  <c r="N202" i="1"/>
  <c r="M202" i="1"/>
  <c r="K202" i="1"/>
  <c r="I202" i="1"/>
  <c r="L202" i="1" s="1"/>
  <c r="F202" i="1"/>
  <c r="Y201" i="1"/>
  <c r="X201" i="1"/>
  <c r="W201" i="1"/>
  <c r="V201" i="1" s="1"/>
  <c r="U201" i="1"/>
  <c r="S201" i="1"/>
  <c r="R201" i="1"/>
  <c r="Q201" i="1"/>
  <c r="P201" i="1"/>
  <c r="O201" i="1"/>
  <c r="N201" i="1"/>
  <c r="M201" i="1"/>
  <c r="L201" i="1"/>
  <c r="K201" i="1"/>
  <c r="J201" i="1"/>
  <c r="F201" i="1"/>
  <c r="I201" i="1" s="1"/>
  <c r="Y200" i="1"/>
  <c r="X200" i="1"/>
  <c r="W200" i="1"/>
  <c r="V200" i="1"/>
  <c r="U200" i="1"/>
  <c r="S200" i="1"/>
  <c r="R200" i="1" s="1"/>
  <c r="Q200" i="1"/>
  <c r="P200" i="1"/>
  <c r="O200" i="1"/>
  <c r="N200" i="1"/>
  <c r="M200" i="1"/>
  <c r="L200" i="1" s="1"/>
  <c r="K200" i="1"/>
  <c r="J200" i="1" s="1"/>
  <c r="F200" i="1"/>
  <c r="I200" i="1" s="1"/>
  <c r="Y199" i="1"/>
  <c r="X199" i="1" s="1"/>
  <c r="W199" i="1"/>
  <c r="V199" i="1" s="1"/>
  <c r="U199" i="1"/>
  <c r="S199" i="1"/>
  <c r="R199" i="1"/>
  <c r="Q199" i="1"/>
  <c r="P199" i="1"/>
  <c r="O199" i="1"/>
  <c r="N199" i="1"/>
  <c r="M199" i="1"/>
  <c r="L199" i="1" s="1"/>
  <c r="K199" i="1"/>
  <c r="F199" i="1"/>
  <c r="I199" i="1" s="1"/>
  <c r="J199" i="1" s="1"/>
  <c r="Y198" i="1"/>
  <c r="X198" i="1" s="1"/>
  <c r="W198" i="1"/>
  <c r="V198" i="1"/>
  <c r="U198" i="1"/>
  <c r="S198" i="1"/>
  <c r="R198" i="1" s="1"/>
  <c r="Q198" i="1"/>
  <c r="P198" i="1"/>
  <c r="O198" i="1"/>
  <c r="M198" i="1"/>
  <c r="L198" i="1"/>
  <c r="K198" i="1"/>
  <c r="F198" i="1"/>
  <c r="I198" i="1" s="1"/>
  <c r="N198" i="1" s="1"/>
  <c r="Y197" i="1"/>
  <c r="X197" i="1" s="1"/>
  <c r="W197" i="1"/>
  <c r="V197" i="1" s="1"/>
  <c r="U197" i="1"/>
  <c r="S197" i="1"/>
  <c r="R197" i="1" s="1"/>
  <c r="Q197" i="1"/>
  <c r="O197" i="1"/>
  <c r="N197" i="1"/>
  <c r="M197" i="1"/>
  <c r="L197" i="1"/>
  <c r="K197" i="1"/>
  <c r="J197" i="1" s="1"/>
  <c r="F197" i="1"/>
  <c r="I197" i="1" s="1"/>
  <c r="P197" i="1" s="1"/>
  <c r="Y196" i="1"/>
  <c r="X196" i="1"/>
  <c r="W196" i="1"/>
  <c r="V196" i="1"/>
  <c r="U196" i="1"/>
  <c r="S196" i="1"/>
  <c r="Q196" i="1"/>
  <c r="O196" i="1"/>
  <c r="M196" i="1"/>
  <c r="L196" i="1"/>
  <c r="K196" i="1"/>
  <c r="J196" i="1"/>
  <c r="F196" i="1"/>
  <c r="I196" i="1" s="1"/>
  <c r="Y195" i="1"/>
  <c r="X195" i="1" s="1"/>
  <c r="W195" i="1"/>
  <c r="V195" i="1"/>
  <c r="U195" i="1"/>
  <c r="S195" i="1"/>
  <c r="Q195" i="1"/>
  <c r="P195" i="1"/>
  <c r="O195" i="1"/>
  <c r="N195" i="1"/>
  <c r="M195" i="1"/>
  <c r="K195" i="1"/>
  <c r="J195" i="1"/>
  <c r="F195" i="1"/>
  <c r="I195" i="1" s="1"/>
  <c r="L195" i="1" s="1"/>
  <c r="Y194" i="1"/>
  <c r="X194" i="1"/>
  <c r="W194" i="1"/>
  <c r="V194" i="1"/>
  <c r="U194" i="1"/>
  <c r="S194" i="1"/>
  <c r="R194" i="1" s="1"/>
  <c r="Q194" i="1"/>
  <c r="O194" i="1"/>
  <c r="M194" i="1"/>
  <c r="K194" i="1"/>
  <c r="J194" i="1"/>
  <c r="I194" i="1"/>
  <c r="N194" i="1" s="1"/>
  <c r="F194" i="1"/>
  <c r="Y193" i="1"/>
  <c r="X193" i="1"/>
  <c r="W193" i="1"/>
  <c r="V193" i="1"/>
  <c r="U193" i="1"/>
  <c r="S193" i="1"/>
  <c r="R193" i="1"/>
  <c r="Q193" i="1"/>
  <c r="P193" i="1"/>
  <c r="O193" i="1"/>
  <c r="M193" i="1"/>
  <c r="L193" i="1"/>
  <c r="K193" i="1"/>
  <c r="F193" i="1"/>
  <c r="I193" i="1" s="1"/>
  <c r="N193" i="1" s="1"/>
  <c r="Y192" i="1"/>
  <c r="X192" i="1"/>
  <c r="W192" i="1"/>
  <c r="V192" i="1" s="1"/>
  <c r="U192" i="1"/>
  <c r="S192" i="1"/>
  <c r="Q192" i="1"/>
  <c r="P192" i="1"/>
  <c r="O192" i="1"/>
  <c r="N192" i="1"/>
  <c r="M192" i="1"/>
  <c r="L192" i="1"/>
  <c r="K192" i="1"/>
  <c r="J192" i="1" s="1"/>
  <c r="I192" i="1"/>
  <c r="R192" i="1" s="1"/>
  <c r="F192" i="1"/>
  <c r="Y191" i="1"/>
  <c r="X191" i="1"/>
  <c r="W191" i="1"/>
  <c r="V191" i="1"/>
  <c r="U191" i="1"/>
  <c r="S191" i="1"/>
  <c r="R191" i="1"/>
  <c r="Q191" i="1"/>
  <c r="O191" i="1"/>
  <c r="N191" i="1"/>
  <c r="M191" i="1"/>
  <c r="L191" i="1"/>
  <c r="K191" i="1"/>
  <c r="J191" i="1"/>
  <c r="I191" i="1"/>
  <c r="P191" i="1" s="1"/>
  <c r="F191" i="1"/>
  <c r="Y190" i="1"/>
  <c r="X190" i="1"/>
  <c r="W190" i="1"/>
  <c r="V190" i="1"/>
  <c r="U190" i="1"/>
  <c r="S190" i="1"/>
  <c r="Q190" i="1"/>
  <c r="P190" i="1"/>
  <c r="O190" i="1"/>
  <c r="N190" i="1"/>
  <c r="M190" i="1"/>
  <c r="K190" i="1"/>
  <c r="J190" i="1"/>
  <c r="F190" i="1"/>
  <c r="I190" i="1" s="1"/>
  <c r="R190" i="1" s="1"/>
  <c r="Y189" i="1"/>
  <c r="X189" i="1"/>
  <c r="W189" i="1"/>
  <c r="V189" i="1"/>
  <c r="U189" i="1"/>
  <c r="S189" i="1"/>
  <c r="Q189" i="1"/>
  <c r="P189" i="1" s="1"/>
  <c r="O189" i="1"/>
  <c r="M189" i="1"/>
  <c r="K189" i="1"/>
  <c r="J189" i="1"/>
  <c r="F189" i="1"/>
  <c r="I189" i="1" s="1"/>
  <c r="Y188" i="1"/>
  <c r="X188" i="1"/>
  <c r="W188" i="1"/>
  <c r="V188" i="1" s="1"/>
  <c r="U188" i="1"/>
  <c r="S188" i="1"/>
  <c r="R188" i="1" s="1"/>
  <c r="Q188" i="1"/>
  <c r="P188" i="1"/>
  <c r="O188" i="1"/>
  <c r="M188" i="1"/>
  <c r="L188" i="1"/>
  <c r="K188" i="1"/>
  <c r="J188" i="1"/>
  <c r="F188" i="1"/>
  <c r="I188" i="1" s="1"/>
  <c r="Y187" i="1"/>
  <c r="X187" i="1"/>
  <c r="W187" i="1"/>
  <c r="V187" i="1"/>
  <c r="U187" i="1"/>
  <c r="S187" i="1"/>
  <c r="Q187" i="1"/>
  <c r="P187" i="1"/>
  <c r="O187" i="1"/>
  <c r="N187" i="1"/>
  <c r="M187" i="1"/>
  <c r="L187" i="1" s="1"/>
  <c r="K187" i="1"/>
  <c r="J187" i="1"/>
  <c r="F187" i="1"/>
  <c r="I187" i="1" s="1"/>
  <c r="Y186" i="1"/>
  <c r="X186" i="1" s="1"/>
  <c r="W186" i="1"/>
  <c r="V186" i="1"/>
  <c r="U186" i="1"/>
  <c r="S186" i="1"/>
  <c r="R186" i="1"/>
  <c r="Q186" i="1"/>
  <c r="O186" i="1"/>
  <c r="N186" i="1"/>
  <c r="M186" i="1"/>
  <c r="L186" i="1" s="1"/>
  <c r="K186" i="1"/>
  <c r="J186" i="1"/>
  <c r="F186" i="1"/>
  <c r="I186" i="1" s="1"/>
  <c r="Y185" i="1"/>
  <c r="X185" i="1"/>
  <c r="W185" i="1"/>
  <c r="V185" i="1"/>
  <c r="U185" i="1"/>
  <c r="S185" i="1"/>
  <c r="R185" i="1"/>
  <c r="Q185" i="1"/>
  <c r="O185" i="1"/>
  <c r="N185" i="1" s="1"/>
  <c r="M185" i="1"/>
  <c r="L185" i="1" s="1"/>
  <c r="K185" i="1"/>
  <c r="J185" i="1"/>
  <c r="I185" i="1"/>
  <c r="P185" i="1" s="1"/>
  <c r="F185" i="1"/>
  <c r="Y184" i="1"/>
  <c r="X184" i="1"/>
  <c r="W184" i="1"/>
  <c r="V184" i="1" s="1"/>
  <c r="U184" i="1"/>
  <c r="S184" i="1"/>
  <c r="Q184" i="1"/>
  <c r="P184" i="1"/>
  <c r="O184" i="1"/>
  <c r="N184" i="1"/>
  <c r="M184" i="1"/>
  <c r="L184" i="1"/>
  <c r="K184" i="1"/>
  <c r="J184" i="1" s="1"/>
  <c r="F184" i="1"/>
  <c r="I184" i="1" s="1"/>
  <c r="Y183" i="1"/>
  <c r="X183" i="1"/>
  <c r="W183" i="1"/>
  <c r="U183" i="1"/>
  <c r="S183" i="1"/>
  <c r="R183" i="1"/>
  <c r="Q183" i="1"/>
  <c r="P183" i="1"/>
  <c r="O183" i="1"/>
  <c r="M183" i="1"/>
  <c r="L183" i="1"/>
  <c r="K183" i="1"/>
  <c r="J183" i="1" s="1"/>
  <c r="I183" i="1"/>
  <c r="N183" i="1" s="1"/>
  <c r="F183" i="1"/>
  <c r="Y182" i="1"/>
  <c r="X182" i="1"/>
  <c r="W182" i="1"/>
  <c r="V182" i="1"/>
  <c r="U182" i="1"/>
  <c r="S182" i="1"/>
  <c r="Q182" i="1"/>
  <c r="O182" i="1"/>
  <c r="N182" i="1" s="1"/>
  <c r="M182" i="1"/>
  <c r="L182" i="1"/>
  <c r="K182" i="1"/>
  <c r="J182" i="1"/>
  <c r="F182" i="1"/>
  <c r="I182" i="1" s="1"/>
  <c r="Y181" i="1"/>
  <c r="X181" i="1"/>
  <c r="W181" i="1"/>
  <c r="V181" i="1" s="1"/>
  <c r="U181" i="1"/>
  <c r="S181" i="1"/>
  <c r="R181" i="1"/>
  <c r="Q181" i="1"/>
  <c r="P181" i="1"/>
  <c r="O181" i="1"/>
  <c r="N181" i="1"/>
  <c r="M181" i="1"/>
  <c r="L181" i="1" s="1"/>
  <c r="K181" i="1"/>
  <c r="J181" i="1" s="1"/>
  <c r="I181" i="1"/>
  <c r="F181" i="1"/>
  <c r="Y180" i="1"/>
  <c r="X180" i="1" s="1"/>
  <c r="W180" i="1"/>
  <c r="V180" i="1"/>
  <c r="U180" i="1"/>
  <c r="S180" i="1"/>
  <c r="Q180" i="1"/>
  <c r="P180" i="1"/>
  <c r="O180" i="1"/>
  <c r="N180" i="1" s="1"/>
  <c r="M180" i="1"/>
  <c r="K180" i="1"/>
  <c r="J180" i="1"/>
  <c r="F180" i="1"/>
  <c r="I180" i="1" s="1"/>
  <c r="Y179" i="1"/>
  <c r="X179" i="1" s="1"/>
  <c r="W179" i="1"/>
  <c r="V179" i="1"/>
  <c r="U179" i="1"/>
  <c r="S179" i="1"/>
  <c r="R179" i="1"/>
  <c r="Q179" i="1"/>
  <c r="O179" i="1"/>
  <c r="N179" i="1" s="1"/>
  <c r="M179" i="1"/>
  <c r="L179" i="1"/>
  <c r="K179" i="1"/>
  <c r="J179" i="1"/>
  <c r="F179" i="1"/>
  <c r="I179" i="1" s="1"/>
  <c r="P179" i="1" s="1"/>
  <c r="Y178" i="1"/>
  <c r="X178" i="1"/>
  <c r="W178" i="1"/>
  <c r="V178" i="1" s="1"/>
  <c r="U178" i="1"/>
  <c r="S178" i="1"/>
  <c r="R178" i="1"/>
  <c r="Q178" i="1"/>
  <c r="P178" i="1"/>
  <c r="O178" i="1"/>
  <c r="N178" i="1" s="1"/>
  <c r="M178" i="1"/>
  <c r="L178" i="1"/>
  <c r="K178" i="1"/>
  <c r="I178" i="1"/>
  <c r="J178" i="1" s="1"/>
  <c r="F178" i="1"/>
  <c r="Y177" i="1"/>
  <c r="X177" i="1"/>
  <c r="W177" i="1"/>
  <c r="V177" i="1"/>
  <c r="U177" i="1"/>
  <c r="S177" i="1"/>
  <c r="Q177" i="1"/>
  <c r="P177" i="1" s="1"/>
  <c r="O177" i="1"/>
  <c r="M177" i="1"/>
  <c r="L177" i="1"/>
  <c r="K177" i="1"/>
  <c r="F177" i="1"/>
  <c r="I177" i="1" s="1"/>
  <c r="N177" i="1" s="1"/>
  <c r="Y176" i="1"/>
  <c r="X176" i="1"/>
  <c r="W176" i="1"/>
  <c r="V176" i="1" s="1"/>
  <c r="U176" i="1"/>
  <c r="S176" i="1"/>
  <c r="Q176" i="1"/>
  <c r="P176" i="1"/>
  <c r="O176" i="1"/>
  <c r="N176" i="1" s="1"/>
  <c r="M176" i="1"/>
  <c r="K176" i="1"/>
  <c r="F176" i="1"/>
  <c r="I176" i="1" s="1"/>
  <c r="Y175" i="1"/>
  <c r="X175" i="1"/>
  <c r="W175" i="1"/>
  <c r="V175" i="1" s="1"/>
  <c r="U175" i="1"/>
  <c r="S175" i="1"/>
  <c r="R175" i="1" s="1"/>
  <c r="Q175" i="1"/>
  <c r="P175" i="1"/>
  <c r="O175" i="1"/>
  <c r="N175" i="1" s="1"/>
  <c r="M175" i="1"/>
  <c r="L175" i="1"/>
  <c r="K175" i="1"/>
  <c r="J175" i="1"/>
  <c r="F175" i="1"/>
  <c r="I175" i="1" s="1"/>
  <c r="Y174" i="1"/>
  <c r="X174" i="1"/>
  <c r="W174" i="1"/>
  <c r="V174" i="1"/>
  <c r="U174" i="1"/>
  <c r="S174" i="1"/>
  <c r="R174" i="1"/>
  <c r="Q174" i="1"/>
  <c r="O174" i="1"/>
  <c r="N174" i="1" s="1"/>
  <c r="M174" i="1"/>
  <c r="L174" i="1" s="1"/>
  <c r="K174" i="1"/>
  <c r="F174" i="1"/>
  <c r="I174" i="1" s="1"/>
  <c r="Y173" i="1"/>
  <c r="X173" i="1"/>
  <c r="W173" i="1"/>
  <c r="V173" i="1"/>
  <c r="U173" i="1"/>
  <c r="S173" i="1"/>
  <c r="R173" i="1"/>
  <c r="Q173" i="1"/>
  <c r="P173" i="1" s="1"/>
  <c r="O173" i="1"/>
  <c r="N173" i="1" s="1"/>
  <c r="M173" i="1"/>
  <c r="L173" i="1"/>
  <c r="K173" i="1"/>
  <c r="F173" i="1"/>
  <c r="I173" i="1" s="1"/>
  <c r="J173" i="1" s="1"/>
  <c r="Y172" i="1"/>
  <c r="X172" i="1"/>
  <c r="W172" i="1"/>
  <c r="V172" i="1"/>
  <c r="U172" i="1"/>
  <c r="S172" i="1"/>
  <c r="Q172" i="1"/>
  <c r="P172" i="1"/>
  <c r="O172" i="1"/>
  <c r="N172" i="1" s="1"/>
  <c r="M172" i="1"/>
  <c r="L172" i="1"/>
  <c r="K172" i="1"/>
  <c r="J172" i="1"/>
  <c r="F172" i="1"/>
  <c r="I172" i="1" s="1"/>
  <c r="R172" i="1" s="1"/>
  <c r="Y171" i="1"/>
  <c r="X171" i="1"/>
  <c r="W171" i="1"/>
  <c r="U171" i="1"/>
  <c r="S171" i="1"/>
  <c r="R171" i="1"/>
  <c r="Q171" i="1"/>
  <c r="P171" i="1"/>
  <c r="O171" i="1"/>
  <c r="N171" i="1"/>
  <c r="M171" i="1"/>
  <c r="L171" i="1"/>
  <c r="K171" i="1"/>
  <c r="J171" i="1"/>
  <c r="F171" i="1"/>
  <c r="I171" i="1" s="1"/>
  <c r="V171" i="1" s="1"/>
  <c r="Y170" i="1"/>
  <c r="X170" i="1"/>
  <c r="W170" i="1"/>
  <c r="V170" i="1"/>
  <c r="U170" i="1"/>
  <c r="S170" i="1"/>
  <c r="R170" i="1"/>
  <c r="Q170" i="1"/>
  <c r="P170" i="1" s="1"/>
  <c r="O170" i="1"/>
  <c r="N170" i="1" s="1"/>
  <c r="M170" i="1"/>
  <c r="L170" i="1" s="1"/>
  <c r="K170" i="1"/>
  <c r="J170" i="1"/>
  <c r="I170" i="1"/>
  <c r="F170" i="1"/>
  <c r="Y169" i="1"/>
  <c r="W169" i="1"/>
  <c r="V169" i="1"/>
  <c r="U169" i="1"/>
  <c r="S169" i="1"/>
  <c r="R169" i="1"/>
  <c r="Q169" i="1"/>
  <c r="P169" i="1"/>
  <c r="O169" i="1"/>
  <c r="M169" i="1"/>
  <c r="K169" i="1"/>
  <c r="F169" i="1"/>
  <c r="I169" i="1" s="1"/>
  <c r="J169" i="1" s="1"/>
  <c r="Y168" i="1"/>
  <c r="X168" i="1"/>
  <c r="W168" i="1"/>
  <c r="V168" i="1"/>
  <c r="U168" i="1"/>
  <c r="S168" i="1"/>
  <c r="R168" i="1" s="1"/>
  <c r="Q168" i="1"/>
  <c r="P168" i="1"/>
  <c r="O168" i="1"/>
  <c r="N168" i="1" s="1"/>
  <c r="M168" i="1"/>
  <c r="L168" i="1"/>
  <c r="K168" i="1"/>
  <c r="J168" i="1" s="1"/>
  <c r="F168" i="1"/>
  <c r="I168" i="1" s="1"/>
  <c r="Y167" i="1"/>
  <c r="X167" i="1" s="1"/>
  <c r="W167" i="1"/>
  <c r="V167" i="1"/>
  <c r="U167" i="1"/>
  <c r="S167" i="1"/>
  <c r="Q167" i="1"/>
  <c r="P167" i="1"/>
  <c r="O167" i="1"/>
  <c r="N167" i="1"/>
  <c r="M167" i="1"/>
  <c r="L167" i="1"/>
  <c r="K167" i="1"/>
  <c r="J167" i="1"/>
  <c r="I167" i="1"/>
  <c r="R167" i="1" s="1"/>
  <c r="F167" i="1"/>
  <c r="Y166" i="1"/>
  <c r="X166" i="1"/>
  <c r="W166" i="1"/>
  <c r="V166" i="1"/>
  <c r="U166" i="1"/>
  <c r="S166" i="1"/>
  <c r="Q166" i="1"/>
  <c r="P166" i="1"/>
  <c r="O166" i="1"/>
  <c r="N166" i="1" s="1"/>
  <c r="M166" i="1"/>
  <c r="L166" i="1" s="1"/>
  <c r="K166" i="1"/>
  <c r="J166" i="1"/>
  <c r="F166" i="1"/>
  <c r="I166" i="1" s="1"/>
  <c r="R166" i="1" s="1"/>
  <c r="Y165" i="1"/>
  <c r="X165" i="1"/>
  <c r="W165" i="1"/>
  <c r="V165" i="1" s="1"/>
  <c r="U165" i="1"/>
  <c r="S165" i="1"/>
  <c r="R165" i="1"/>
  <c r="Q165" i="1"/>
  <c r="P165" i="1"/>
  <c r="O165" i="1"/>
  <c r="N165" i="1"/>
  <c r="M165" i="1"/>
  <c r="L165" i="1"/>
  <c r="K165" i="1"/>
  <c r="I165" i="1"/>
  <c r="J165" i="1" s="1"/>
  <c r="F165" i="1"/>
  <c r="Y164" i="1"/>
  <c r="X164" i="1"/>
  <c r="W164" i="1"/>
  <c r="V164" i="1"/>
  <c r="U164" i="1"/>
  <c r="S164" i="1"/>
  <c r="R164" i="1"/>
  <c r="Q164" i="1"/>
  <c r="P164" i="1"/>
  <c r="O164" i="1"/>
  <c r="N164" i="1"/>
  <c r="M164" i="1"/>
  <c r="K164" i="1"/>
  <c r="I164" i="1"/>
  <c r="L164" i="1" s="1"/>
  <c r="F164" i="1"/>
  <c r="Y163" i="1"/>
  <c r="X163" i="1" s="1"/>
  <c r="W163" i="1"/>
  <c r="V163" i="1"/>
  <c r="U163" i="1"/>
  <c r="S163" i="1"/>
  <c r="R163" i="1"/>
  <c r="Q163" i="1"/>
  <c r="P163" i="1" s="1"/>
  <c r="O163" i="1"/>
  <c r="N163" i="1"/>
  <c r="M163" i="1"/>
  <c r="L163" i="1"/>
  <c r="K163" i="1"/>
  <c r="I163" i="1"/>
  <c r="J163" i="1" s="1"/>
  <c r="F163" i="1"/>
  <c r="Y162" i="1"/>
  <c r="X162" i="1"/>
  <c r="W162" i="1"/>
  <c r="V162" i="1" s="1"/>
  <c r="U162" i="1"/>
  <c r="S162" i="1"/>
  <c r="R162" i="1"/>
  <c r="Q162" i="1"/>
  <c r="P162" i="1" s="1"/>
  <c r="O162" i="1"/>
  <c r="N162" i="1"/>
  <c r="M162" i="1"/>
  <c r="L162" i="1" s="1"/>
  <c r="K162" i="1"/>
  <c r="J162" i="1"/>
  <c r="I162" i="1"/>
  <c r="F162" i="1"/>
  <c r="Y161" i="1"/>
  <c r="X161" i="1" s="1"/>
  <c r="W161" i="1"/>
  <c r="V161" i="1"/>
  <c r="U161" i="1"/>
  <c r="S161" i="1"/>
  <c r="Q161" i="1"/>
  <c r="P161" i="1"/>
  <c r="O161" i="1"/>
  <c r="N161" i="1"/>
  <c r="M161" i="1"/>
  <c r="K161" i="1"/>
  <c r="J161" i="1"/>
  <c r="F161" i="1"/>
  <c r="I161" i="1" s="1"/>
  <c r="R161" i="1" s="1"/>
  <c r="Y160" i="1"/>
  <c r="X160" i="1"/>
  <c r="W160" i="1"/>
  <c r="V160" i="1" s="1"/>
  <c r="U160" i="1"/>
  <c r="S160" i="1"/>
  <c r="R160" i="1"/>
  <c r="Q160" i="1"/>
  <c r="P160" i="1"/>
  <c r="O160" i="1"/>
  <c r="N160" i="1"/>
  <c r="M160" i="1"/>
  <c r="L160" i="1"/>
  <c r="K160" i="1"/>
  <c r="J160" i="1"/>
  <c r="F160" i="1"/>
  <c r="Y159" i="1"/>
  <c r="X159" i="1"/>
  <c r="W159" i="1"/>
  <c r="U159" i="1"/>
  <c r="S159" i="1"/>
  <c r="R159" i="1"/>
  <c r="Q159" i="1"/>
  <c r="P159" i="1"/>
  <c r="O159" i="1"/>
  <c r="N159" i="1"/>
  <c r="M159" i="1"/>
  <c r="K159" i="1"/>
  <c r="J159" i="1" s="1"/>
  <c r="F159" i="1"/>
  <c r="I159" i="1" s="1"/>
  <c r="V159" i="1" s="1"/>
  <c r="Y158" i="1"/>
  <c r="X158" i="1" s="1"/>
  <c r="W158" i="1"/>
  <c r="V158" i="1" s="1"/>
  <c r="U158" i="1"/>
  <c r="S158" i="1"/>
  <c r="R158" i="1" s="1"/>
  <c r="Q158" i="1"/>
  <c r="O158" i="1"/>
  <c r="M158" i="1"/>
  <c r="K158" i="1"/>
  <c r="J158" i="1"/>
  <c r="F158" i="1"/>
  <c r="I158" i="1" s="1"/>
  <c r="L158" i="1" s="1"/>
  <c r="Y157" i="1"/>
  <c r="X157" i="1"/>
  <c r="W157" i="1"/>
  <c r="U157" i="1"/>
  <c r="S157" i="1"/>
  <c r="Q157" i="1"/>
  <c r="P157" i="1"/>
  <c r="O157" i="1"/>
  <c r="M157" i="1"/>
  <c r="K157" i="1"/>
  <c r="J157" i="1"/>
  <c r="F157" i="1"/>
  <c r="I157" i="1" s="1"/>
  <c r="Y156" i="1"/>
  <c r="X156" i="1"/>
  <c r="W156" i="1"/>
  <c r="V156" i="1" s="1"/>
  <c r="U156" i="1"/>
  <c r="T156" i="1"/>
  <c r="S156" i="1"/>
  <c r="R156" i="1"/>
  <c r="Q156" i="1"/>
  <c r="P156" i="1"/>
  <c r="O156" i="1"/>
  <c r="N156" i="1"/>
  <c r="M156" i="1"/>
  <c r="L156" i="1"/>
  <c r="K156" i="1"/>
  <c r="J156" i="1" s="1"/>
  <c r="I156" i="1"/>
  <c r="F156" i="1"/>
  <c r="Y155" i="1"/>
  <c r="W155" i="1"/>
  <c r="U155" i="1"/>
  <c r="S155" i="1"/>
  <c r="Q155" i="1"/>
  <c r="O155" i="1"/>
  <c r="M155" i="1"/>
  <c r="K155" i="1"/>
  <c r="I155" i="1"/>
  <c r="L155" i="1" s="1"/>
  <c r="F155" i="1"/>
  <c r="Y154" i="1"/>
  <c r="W154" i="1"/>
  <c r="V154" i="1"/>
  <c r="U154" i="1"/>
  <c r="T154" i="1"/>
  <c r="S154" i="1"/>
  <c r="Q154" i="1"/>
  <c r="O154" i="1"/>
  <c r="N154" i="1"/>
  <c r="M154" i="1"/>
  <c r="L154" i="1" s="1"/>
  <c r="K154" i="1"/>
  <c r="J154" i="1" s="1"/>
  <c r="F154" i="1"/>
  <c r="I154" i="1" s="1"/>
  <c r="Y153" i="1"/>
  <c r="X153" i="1" s="1"/>
  <c r="W153" i="1"/>
  <c r="U153" i="1"/>
  <c r="T153" i="1"/>
  <c r="S153" i="1"/>
  <c r="R153" i="1"/>
  <c r="Q153" i="1"/>
  <c r="P153" i="1"/>
  <c r="O153" i="1"/>
  <c r="N153" i="1" s="1"/>
  <c r="M153" i="1"/>
  <c r="L153" i="1" s="1"/>
  <c r="K153" i="1"/>
  <c r="J153" i="1"/>
  <c r="I153" i="1"/>
  <c r="V153" i="1" s="1"/>
  <c r="F153" i="1"/>
  <c r="Y152" i="1"/>
  <c r="W152" i="1"/>
  <c r="V152" i="1"/>
  <c r="U152" i="1"/>
  <c r="T152" i="1"/>
  <c r="S152" i="1"/>
  <c r="R152" i="1"/>
  <c r="Q152" i="1"/>
  <c r="P152" i="1"/>
  <c r="O152" i="1"/>
  <c r="N152" i="1"/>
  <c r="M152" i="1"/>
  <c r="L152" i="1" s="1"/>
  <c r="K152" i="1"/>
  <c r="J152" i="1" s="1"/>
  <c r="F152" i="1"/>
  <c r="I152" i="1" s="1"/>
  <c r="Y151" i="1"/>
  <c r="X151" i="1"/>
  <c r="W151" i="1"/>
  <c r="V151" i="1"/>
  <c r="U151" i="1"/>
  <c r="S151" i="1"/>
  <c r="Q151" i="1"/>
  <c r="P151" i="1" s="1"/>
  <c r="O151" i="1"/>
  <c r="N151" i="1" s="1"/>
  <c r="M151" i="1"/>
  <c r="L151" i="1"/>
  <c r="K151" i="1"/>
  <c r="J151" i="1"/>
  <c r="F151" i="1"/>
  <c r="I151" i="1" s="1"/>
  <c r="Y150" i="1"/>
  <c r="X150" i="1" s="1"/>
  <c r="W150" i="1"/>
  <c r="V150" i="1"/>
  <c r="U150" i="1"/>
  <c r="T150" i="1"/>
  <c r="S150" i="1"/>
  <c r="R150" i="1"/>
  <c r="Q150" i="1"/>
  <c r="P150" i="1"/>
  <c r="O150" i="1"/>
  <c r="N150" i="1"/>
  <c r="M150" i="1"/>
  <c r="L150" i="1" s="1"/>
  <c r="K150" i="1"/>
  <c r="I150" i="1"/>
  <c r="J150" i="1" s="1"/>
  <c r="F150" i="1"/>
  <c r="Y149" i="1"/>
  <c r="X149" i="1"/>
  <c r="W149" i="1"/>
  <c r="V149" i="1"/>
  <c r="U149" i="1"/>
  <c r="S149" i="1"/>
  <c r="Q149" i="1"/>
  <c r="O149" i="1"/>
  <c r="M149" i="1"/>
  <c r="L149" i="1"/>
  <c r="K149" i="1"/>
  <c r="J149" i="1"/>
  <c r="F149" i="1"/>
  <c r="I149" i="1" s="1"/>
  <c r="Y148" i="1"/>
  <c r="X148" i="1"/>
  <c r="W148" i="1"/>
  <c r="V148" i="1"/>
  <c r="U148" i="1"/>
  <c r="T148" i="1"/>
  <c r="S148" i="1"/>
  <c r="Q148" i="1"/>
  <c r="O148" i="1"/>
  <c r="N148" i="1"/>
  <c r="M148" i="1"/>
  <c r="L148" i="1"/>
  <c r="K148" i="1"/>
  <c r="J148" i="1"/>
  <c r="F148" i="1"/>
  <c r="I148" i="1" s="1"/>
  <c r="Y147" i="1"/>
  <c r="X147" i="1" s="1"/>
  <c r="W147" i="1"/>
  <c r="V147" i="1"/>
  <c r="U147" i="1"/>
  <c r="S147" i="1"/>
  <c r="R147" i="1"/>
  <c r="Q147" i="1"/>
  <c r="O147" i="1"/>
  <c r="N147" i="1" s="1"/>
  <c r="M147" i="1"/>
  <c r="K147" i="1"/>
  <c r="F147" i="1"/>
  <c r="I147" i="1" s="1"/>
  <c r="Y146" i="1"/>
  <c r="W146" i="1"/>
  <c r="V146" i="1"/>
  <c r="U146" i="1"/>
  <c r="T146" i="1"/>
  <c r="S146" i="1"/>
  <c r="R146" i="1" s="1"/>
  <c r="Q146" i="1"/>
  <c r="P146" i="1"/>
  <c r="O146" i="1"/>
  <c r="M146" i="1"/>
  <c r="L146" i="1"/>
  <c r="K146" i="1"/>
  <c r="J146" i="1" s="1"/>
  <c r="F146" i="1"/>
  <c r="I146" i="1" s="1"/>
  <c r="N146" i="1" s="1"/>
  <c r="Y145" i="1"/>
  <c r="X145" i="1"/>
  <c r="W145" i="1"/>
  <c r="V145" i="1" s="1"/>
  <c r="U145" i="1"/>
  <c r="T145" i="1" s="1"/>
  <c r="S145" i="1"/>
  <c r="R145" i="1"/>
  <c r="Q145" i="1"/>
  <c r="O145" i="1"/>
  <c r="N145" i="1"/>
  <c r="M145" i="1"/>
  <c r="L145" i="1"/>
  <c r="K145" i="1"/>
  <c r="J145" i="1"/>
  <c r="F145" i="1"/>
  <c r="I145" i="1" s="1"/>
  <c r="P145" i="1" s="1"/>
  <c r="Y144" i="1"/>
  <c r="X144" i="1" s="1"/>
  <c r="W144" i="1"/>
  <c r="V144" i="1" s="1"/>
  <c r="U144" i="1"/>
  <c r="T144" i="1"/>
  <c r="S144" i="1"/>
  <c r="R144" i="1"/>
  <c r="Q144" i="1"/>
  <c r="O144" i="1"/>
  <c r="N144" i="1"/>
  <c r="M144" i="1"/>
  <c r="L144" i="1"/>
  <c r="K144" i="1"/>
  <c r="J144" i="1" s="1"/>
  <c r="I144" i="1"/>
  <c r="P144" i="1" s="1"/>
  <c r="F144" i="1"/>
  <c r="Y143" i="1"/>
  <c r="X143" i="1"/>
  <c r="W143" i="1"/>
  <c r="V143" i="1"/>
  <c r="U143" i="1"/>
  <c r="T143" i="1"/>
  <c r="S143" i="1"/>
  <c r="R143" i="1" s="1"/>
  <c r="Q143" i="1"/>
  <c r="P143" i="1"/>
  <c r="O143" i="1"/>
  <c r="N143" i="1"/>
  <c r="M143" i="1"/>
  <c r="L143" i="1" s="1"/>
  <c r="K143" i="1"/>
  <c r="I143" i="1"/>
  <c r="J143" i="1" s="1"/>
  <c r="F143" i="1"/>
  <c r="Y142" i="1"/>
  <c r="X142" i="1"/>
  <c r="W142" i="1"/>
  <c r="V142" i="1"/>
  <c r="U142" i="1"/>
  <c r="S142" i="1"/>
  <c r="R142" i="1"/>
  <c r="Q142" i="1"/>
  <c r="P142" i="1"/>
  <c r="O142" i="1"/>
  <c r="N142" i="1"/>
  <c r="M142" i="1"/>
  <c r="L142" i="1" s="1"/>
  <c r="K142" i="1"/>
  <c r="J142" i="1" s="1"/>
  <c r="F142" i="1"/>
  <c r="I142" i="1" s="1"/>
  <c r="T142" i="1" s="1"/>
  <c r="Y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F141" i="1"/>
  <c r="Y140" i="1"/>
  <c r="X140" i="1" s="1"/>
  <c r="W140" i="1"/>
  <c r="V140" i="1"/>
  <c r="U140" i="1"/>
  <c r="T140" i="1" s="1"/>
  <c r="S140" i="1"/>
  <c r="R140" i="1"/>
  <c r="Q140" i="1"/>
  <c r="O140" i="1"/>
  <c r="N140" i="1" s="1"/>
  <c r="M140" i="1"/>
  <c r="L140" i="1" s="1"/>
  <c r="K140" i="1"/>
  <c r="J140" i="1"/>
  <c r="F140" i="1"/>
  <c r="I140" i="1" s="1"/>
  <c r="P140" i="1" s="1"/>
  <c r="Y139" i="1"/>
  <c r="X139" i="1" s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F139" i="1"/>
  <c r="I139" i="1" s="1"/>
  <c r="Y138" i="1"/>
  <c r="X138" i="1" s="1"/>
  <c r="W138" i="1"/>
  <c r="V138" i="1"/>
  <c r="U138" i="1"/>
  <c r="T138" i="1"/>
  <c r="S138" i="1"/>
  <c r="R138" i="1"/>
  <c r="Q138" i="1"/>
  <c r="P138" i="1"/>
  <c r="O138" i="1"/>
  <c r="N138" i="1" s="1"/>
  <c r="M138" i="1"/>
  <c r="L138" i="1"/>
  <c r="K138" i="1"/>
  <c r="J138" i="1" s="1"/>
  <c r="F138" i="1"/>
  <c r="I138" i="1" s="1"/>
  <c r="Y137" i="1"/>
  <c r="X137" i="1" s="1"/>
  <c r="W137" i="1"/>
  <c r="V137" i="1"/>
  <c r="U137" i="1"/>
  <c r="T137" i="1"/>
  <c r="S137" i="1"/>
  <c r="Q137" i="1"/>
  <c r="O137" i="1"/>
  <c r="M137" i="1"/>
  <c r="K137" i="1"/>
  <c r="J137" i="1" s="1"/>
  <c r="F137" i="1"/>
  <c r="I137" i="1" s="1"/>
  <c r="R137" i="1" s="1"/>
  <c r="Y136" i="1"/>
  <c r="W136" i="1"/>
  <c r="U136" i="1"/>
  <c r="S136" i="1"/>
  <c r="R136" i="1"/>
  <c r="Q136" i="1"/>
  <c r="P136" i="1" s="1"/>
  <c r="O136" i="1"/>
  <c r="N136" i="1"/>
  <c r="M136" i="1"/>
  <c r="L136" i="1"/>
  <c r="K136" i="1"/>
  <c r="J136" i="1"/>
  <c r="I136" i="1"/>
  <c r="T136" i="1" s="1"/>
  <c r="F136" i="1"/>
  <c r="Y135" i="1"/>
  <c r="X135" i="1"/>
  <c r="W135" i="1"/>
  <c r="V135" i="1" s="1"/>
  <c r="U135" i="1"/>
  <c r="S135" i="1"/>
  <c r="R135" i="1"/>
  <c r="Q135" i="1"/>
  <c r="O135" i="1"/>
  <c r="N135" i="1" s="1"/>
  <c r="M135" i="1"/>
  <c r="L135" i="1"/>
  <c r="K135" i="1"/>
  <c r="J135" i="1"/>
  <c r="F135" i="1"/>
  <c r="I135" i="1" s="1"/>
  <c r="Y134" i="1"/>
  <c r="X134" i="1"/>
  <c r="W134" i="1"/>
  <c r="V134" i="1"/>
  <c r="U134" i="1"/>
  <c r="T134" i="1"/>
  <c r="S134" i="1"/>
  <c r="R134" i="1"/>
  <c r="Q134" i="1"/>
  <c r="P134" i="1"/>
  <c r="O134" i="1"/>
  <c r="N134" i="1" s="1"/>
  <c r="M134" i="1"/>
  <c r="L134" i="1" s="1"/>
  <c r="K134" i="1"/>
  <c r="J134" i="1" s="1"/>
  <c r="I134" i="1"/>
  <c r="F134" i="1"/>
  <c r="Y133" i="1"/>
  <c r="X133" i="1"/>
  <c r="W133" i="1"/>
  <c r="V133" i="1"/>
  <c r="U133" i="1"/>
  <c r="S133" i="1"/>
  <c r="R133" i="1"/>
  <c r="Q133" i="1"/>
  <c r="O133" i="1"/>
  <c r="N133" i="1"/>
  <c r="M133" i="1"/>
  <c r="L133" i="1" s="1"/>
  <c r="K133" i="1"/>
  <c r="F133" i="1"/>
  <c r="I133" i="1" s="1"/>
  <c r="Y132" i="1"/>
  <c r="X132" i="1"/>
  <c r="W132" i="1"/>
  <c r="V132" i="1"/>
  <c r="U132" i="1"/>
  <c r="T132" i="1"/>
  <c r="S132" i="1"/>
  <c r="R132" i="1" s="1"/>
  <c r="Q132" i="1"/>
  <c r="P132" i="1"/>
  <c r="O132" i="1"/>
  <c r="N132" i="1" s="1"/>
  <c r="M132" i="1"/>
  <c r="L132" i="1" s="1"/>
  <c r="K132" i="1"/>
  <c r="J132" i="1"/>
  <c r="I132" i="1"/>
  <c r="F132" i="1"/>
  <c r="Y131" i="1"/>
  <c r="W131" i="1"/>
  <c r="V131" i="1"/>
  <c r="U131" i="1"/>
  <c r="T131" i="1" s="1"/>
  <c r="S131" i="1"/>
  <c r="R131" i="1" s="1"/>
  <c r="Q131" i="1"/>
  <c r="P131" i="1"/>
  <c r="O131" i="1"/>
  <c r="N131" i="1" s="1"/>
  <c r="M131" i="1"/>
  <c r="L131" i="1"/>
  <c r="K131" i="1"/>
  <c r="J131" i="1" s="1"/>
  <c r="I131" i="1"/>
  <c r="F131" i="1"/>
  <c r="Y130" i="1"/>
  <c r="X130" i="1" s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I130" i="1"/>
  <c r="J130" i="1" s="1"/>
  <c r="F130" i="1"/>
  <c r="Y129" i="1"/>
  <c r="X129" i="1" s="1"/>
  <c r="W129" i="1"/>
  <c r="V129" i="1"/>
  <c r="U129" i="1"/>
  <c r="S129" i="1"/>
  <c r="R129" i="1"/>
  <c r="Q129" i="1"/>
  <c r="P129" i="1" s="1"/>
  <c r="O129" i="1"/>
  <c r="N129" i="1" s="1"/>
  <c r="M129" i="1"/>
  <c r="L129" i="1"/>
  <c r="K129" i="1"/>
  <c r="J129" i="1" s="1"/>
  <c r="F129" i="1"/>
  <c r="I129" i="1" s="1"/>
  <c r="T129" i="1" s="1"/>
  <c r="Y128" i="1"/>
  <c r="X128" i="1"/>
  <c r="W128" i="1"/>
  <c r="U128" i="1"/>
  <c r="T128" i="1"/>
  <c r="S128" i="1"/>
  <c r="R128" i="1"/>
  <c r="Q128" i="1"/>
  <c r="P128" i="1"/>
  <c r="O128" i="1"/>
  <c r="N128" i="1"/>
  <c r="M128" i="1"/>
  <c r="K128" i="1"/>
  <c r="J128" i="1" s="1"/>
  <c r="F128" i="1"/>
  <c r="I128" i="1" s="1"/>
  <c r="L128" i="1" s="1"/>
  <c r="Y127" i="1"/>
  <c r="X127" i="1" s="1"/>
  <c r="W127" i="1"/>
  <c r="V127" i="1"/>
  <c r="U127" i="1"/>
  <c r="T127" i="1"/>
  <c r="S127" i="1"/>
  <c r="Q127" i="1"/>
  <c r="P127" i="1"/>
  <c r="O127" i="1"/>
  <c r="N127" i="1" s="1"/>
  <c r="M127" i="1"/>
  <c r="L127" i="1" s="1"/>
  <c r="K127" i="1"/>
  <c r="J127" i="1"/>
  <c r="I127" i="1"/>
  <c r="R127" i="1" s="1"/>
  <c r="F127" i="1"/>
  <c r="Y126" i="1"/>
  <c r="W126" i="1"/>
  <c r="V126" i="1" s="1"/>
  <c r="U126" i="1"/>
  <c r="T126" i="1"/>
  <c r="S126" i="1"/>
  <c r="R126" i="1"/>
  <c r="Q126" i="1"/>
  <c r="P126" i="1"/>
  <c r="O126" i="1"/>
  <c r="N126" i="1"/>
  <c r="M126" i="1"/>
  <c r="L126" i="1"/>
  <c r="K126" i="1"/>
  <c r="J126" i="1" s="1"/>
  <c r="I126" i="1"/>
  <c r="F126" i="1"/>
  <c r="Y125" i="1"/>
  <c r="X125" i="1"/>
  <c r="W125" i="1"/>
  <c r="V125" i="1"/>
  <c r="U125" i="1"/>
  <c r="T125" i="1"/>
  <c r="S125" i="1"/>
  <c r="R125" i="1"/>
  <c r="Q125" i="1"/>
  <c r="P125" i="1"/>
  <c r="O125" i="1"/>
  <c r="N125" i="1" s="1"/>
  <c r="M125" i="1"/>
  <c r="L125" i="1"/>
  <c r="K125" i="1"/>
  <c r="J125" i="1" s="1"/>
  <c r="I125" i="1"/>
  <c r="F125" i="1"/>
  <c r="Y124" i="1"/>
  <c r="X124" i="1"/>
  <c r="W124" i="1"/>
  <c r="V124" i="1"/>
  <c r="U124" i="1"/>
  <c r="T124" i="1"/>
  <c r="S124" i="1"/>
  <c r="R124" i="1"/>
  <c r="Q124" i="1"/>
  <c r="P124" i="1"/>
  <c r="O124" i="1"/>
  <c r="M124" i="1"/>
  <c r="L124" i="1" s="1"/>
  <c r="K124" i="1"/>
  <c r="I124" i="1"/>
  <c r="J124" i="1" s="1"/>
  <c r="F124" i="1"/>
  <c r="Y123" i="1"/>
  <c r="X123" i="1"/>
  <c r="W123" i="1"/>
  <c r="V123" i="1"/>
  <c r="U123" i="1"/>
  <c r="T123" i="1"/>
  <c r="S123" i="1"/>
  <c r="R123" i="1" s="1"/>
  <c r="Q123" i="1"/>
  <c r="P123" i="1"/>
  <c r="O123" i="1"/>
  <c r="N123" i="1"/>
  <c r="M123" i="1"/>
  <c r="L123" i="1" s="1"/>
  <c r="K123" i="1"/>
  <c r="J123" i="1"/>
  <c r="F123" i="1"/>
  <c r="I123" i="1" s="1"/>
  <c r="Y122" i="1"/>
  <c r="X122" i="1"/>
  <c r="W122" i="1"/>
  <c r="U122" i="1"/>
  <c r="S122" i="1"/>
  <c r="R122" i="1"/>
  <c r="Q122" i="1"/>
  <c r="P122" i="1"/>
  <c r="O122" i="1"/>
  <c r="N122" i="1"/>
  <c r="M122" i="1"/>
  <c r="L122" i="1"/>
  <c r="K122" i="1"/>
  <c r="F122" i="1"/>
  <c r="I122" i="1" s="1"/>
  <c r="Y121" i="1"/>
  <c r="W121" i="1"/>
  <c r="V121" i="1"/>
  <c r="U121" i="1"/>
  <c r="T121" i="1" s="1"/>
  <c r="S121" i="1"/>
  <c r="R121" i="1"/>
  <c r="Q121" i="1"/>
  <c r="P121" i="1"/>
  <c r="O121" i="1"/>
  <c r="N121" i="1"/>
  <c r="M121" i="1"/>
  <c r="K121" i="1"/>
  <c r="J121" i="1"/>
  <c r="F121" i="1"/>
  <c r="I121" i="1" s="1"/>
  <c r="L121" i="1" s="1"/>
  <c r="Y120" i="1"/>
  <c r="W120" i="1"/>
  <c r="U120" i="1"/>
  <c r="T120" i="1"/>
  <c r="S120" i="1"/>
  <c r="R120" i="1"/>
  <c r="Q120" i="1"/>
  <c r="P120" i="1" s="1"/>
  <c r="O120" i="1"/>
  <c r="M120" i="1"/>
  <c r="L120" i="1"/>
  <c r="K120" i="1"/>
  <c r="J120" i="1"/>
  <c r="I120" i="1"/>
  <c r="N120" i="1" s="1"/>
  <c r="F120" i="1"/>
  <c r="Y119" i="1"/>
  <c r="W119" i="1"/>
  <c r="V119" i="1"/>
  <c r="U119" i="1"/>
  <c r="T119" i="1"/>
  <c r="S119" i="1"/>
  <c r="Q119" i="1"/>
  <c r="O119" i="1"/>
  <c r="N119" i="1"/>
  <c r="M119" i="1"/>
  <c r="L119" i="1"/>
  <c r="K119" i="1"/>
  <c r="J119" i="1"/>
  <c r="F119" i="1"/>
  <c r="I119" i="1" s="1"/>
  <c r="R119" i="1" s="1"/>
  <c r="Y118" i="1"/>
  <c r="W118" i="1"/>
  <c r="V118" i="1"/>
  <c r="U118" i="1"/>
  <c r="T118" i="1"/>
  <c r="S118" i="1"/>
  <c r="R118" i="1"/>
  <c r="Q118" i="1"/>
  <c r="P118" i="1"/>
  <c r="O118" i="1"/>
  <c r="N118" i="1"/>
  <c r="M118" i="1"/>
  <c r="L118" i="1" s="1"/>
  <c r="K118" i="1"/>
  <c r="F118" i="1"/>
  <c r="I118" i="1" s="1"/>
  <c r="J118" i="1" s="1"/>
  <c r="Y117" i="1"/>
  <c r="W117" i="1"/>
  <c r="V117" i="1" s="1"/>
  <c r="U117" i="1"/>
  <c r="T117" i="1"/>
  <c r="S117" i="1"/>
  <c r="Q117" i="1"/>
  <c r="P117" i="1" s="1"/>
  <c r="O117" i="1"/>
  <c r="N117" i="1"/>
  <c r="M117" i="1"/>
  <c r="L117" i="1" s="1"/>
  <c r="K117" i="1"/>
  <c r="J117" i="1"/>
  <c r="F117" i="1"/>
  <c r="I117" i="1" s="1"/>
  <c r="Y116" i="1"/>
  <c r="W116" i="1"/>
  <c r="V116" i="1"/>
  <c r="U116" i="1"/>
  <c r="T116" i="1"/>
  <c r="S116" i="1"/>
  <c r="Q116" i="1"/>
  <c r="P116" i="1"/>
  <c r="O116" i="1"/>
  <c r="N116" i="1"/>
  <c r="M116" i="1"/>
  <c r="K116" i="1"/>
  <c r="F116" i="1"/>
  <c r="I116" i="1" s="1"/>
  <c r="R116" i="1" s="1"/>
  <c r="Y115" i="1"/>
  <c r="W115" i="1"/>
  <c r="V115" i="1" s="1"/>
  <c r="U115" i="1"/>
  <c r="T115" i="1" s="1"/>
  <c r="S115" i="1"/>
  <c r="Q115" i="1"/>
  <c r="P115" i="1" s="1"/>
  <c r="O115" i="1"/>
  <c r="N115" i="1"/>
  <c r="M115" i="1"/>
  <c r="L115" i="1"/>
  <c r="K115" i="1"/>
  <c r="F115" i="1"/>
  <c r="I115" i="1" s="1"/>
  <c r="Y114" i="1"/>
  <c r="W114" i="1"/>
  <c r="U114" i="1"/>
  <c r="S114" i="1"/>
  <c r="R114" i="1"/>
  <c r="Q114" i="1"/>
  <c r="P114" i="1"/>
  <c r="O114" i="1"/>
  <c r="N114" i="1"/>
  <c r="M114" i="1"/>
  <c r="L114" i="1"/>
  <c r="K114" i="1"/>
  <c r="J114" i="1" s="1"/>
  <c r="I114" i="1"/>
  <c r="T114" i="1" s="1"/>
  <c r="F114" i="1"/>
  <c r="Y113" i="1"/>
  <c r="W113" i="1"/>
  <c r="V113" i="1" s="1"/>
  <c r="U113" i="1"/>
  <c r="T113" i="1"/>
  <c r="S113" i="1"/>
  <c r="R113" i="1"/>
  <c r="Q113" i="1"/>
  <c r="P113" i="1"/>
  <c r="O113" i="1"/>
  <c r="M113" i="1"/>
  <c r="L113" i="1" s="1"/>
  <c r="K113" i="1"/>
  <c r="F113" i="1"/>
  <c r="I113" i="1" s="1"/>
  <c r="Y112" i="1"/>
  <c r="W112" i="1"/>
  <c r="V112" i="1" s="1"/>
  <c r="U112" i="1"/>
  <c r="T112" i="1"/>
  <c r="S112" i="1"/>
  <c r="R112" i="1" s="1"/>
  <c r="Q112" i="1"/>
  <c r="P112" i="1"/>
  <c r="O112" i="1"/>
  <c r="M112" i="1"/>
  <c r="K112" i="1"/>
  <c r="J112" i="1"/>
  <c r="F112" i="1"/>
  <c r="I112" i="1" s="1"/>
  <c r="N112" i="1" s="1"/>
  <c r="Y111" i="1"/>
  <c r="W111" i="1"/>
  <c r="V111" i="1"/>
  <c r="U111" i="1"/>
  <c r="T111" i="1"/>
  <c r="S111" i="1"/>
  <c r="Q111" i="1"/>
  <c r="P111" i="1"/>
  <c r="O111" i="1"/>
  <c r="N111" i="1" s="1"/>
  <c r="M111" i="1"/>
  <c r="L111" i="1"/>
  <c r="K111" i="1"/>
  <c r="J111" i="1"/>
  <c r="F111" i="1"/>
  <c r="I111" i="1" s="1"/>
  <c r="Y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F110" i="1"/>
  <c r="Y109" i="1"/>
  <c r="W109" i="1"/>
  <c r="V109" i="1"/>
  <c r="U109" i="1"/>
  <c r="T109" i="1"/>
  <c r="S109" i="1"/>
  <c r="R109" i="1"/>
  <c r="Q109" i="1"/>
  <c r="P109" i="1" s="1"/>
  <c r="O109" i="1"/>
  <c r="N109" i="1"/>
  <c r="M109" i="1"/>
  <c r="K109" i="1"/>
  <c r="J109" i="1"/>
  <c r="F109" i="1"/>
  <c r="I109" i="1" s="1"/>
  <c r="Y108" i="1"/>
  <c r="W108" i="1"/>
  <c r="V108" i="1" s="1"/>
  <c r="U108" i="1"/>
  <c r="T108" i="1" s="1"/>
  <c r="S108" i="1"/>
  <c r="R108" i="1"/>
  <c r="Q108" i="1"/>
  <c r="P108" i="1"/>
  <c r="O108" i="1"/>
  <c r="M108" i="1"/>
  <c r="L108" i="1"/>
  <c r="K108" i="1"/>
  <c r="J108" i="1" s="1"/>
  <c r="I108" i="1"/>
  <c r="N108" i="1" s="1"/>
  <c r="F108" i="1"/>
  <c r="Y107" i="1"/>
  <c r="W107" i="1"/>
  <c r="V107" i="1"/>
  <c r="U107" i="1"/>
  <c r="T107" i="1" s="1"/>
  <c r="S107" i="1"/>
  <c r="Q107" i="1"/>
  <c r="P107" i="1"/>
  <c r="O107" i="1"/>
  <c r="M107" i="1"/>
  <c r="K107" i="1"/>
  <c r="I107" i="1"/>
  <c r="N107" i="1" s="1"/>
  <c r="F107" i="1"/>
  <c r="Y106" i="1"/>
  <c r="W106" i="1"/>
  <c r="U106" i="1"/>
  <c r="T106" i="1" s="1"/>
  <c r="S106" i="1"/>
  <c r="R106" i="1"/>
  <c r="Q106" i="1"/>
  <c r="O106" i="1"/>
  <c r="N106" i="1"/>
  <c r="M106" i="1"/>
  <c r="L106" i="1"/>
  <c r="K106" i="1"/>
  <c r="J106" i="1"/>
  <c r="I106" i="1"/>
  <c r="P106" i="1" s="1"/>
  <c r="F106" i="1"/>
  <c r="Y105" i="1"/>
  <c r="W105" i="1"/>
  <c r="U105" i="1"/>
  <c r="T105" i="1"/>
  <c r="S105" i="1"/>
  <c r="R105" i="1" s="1"/>
  <c r="Q105" i="1"/>
  <c r="O105" i="1"/>
  <c r="N105" i="1"/>
  <c r="M105" i="1"/>
  <c r="L105" i="1"/>
  <c r="K105" i="1"/>
  <c r="J105" i="1" s="1"/>
  <c r="I105" i="1"/>
  <c r="P105" i="1" s="1"/>
  <c r="F105" i="1"/>
  <c r="Y104" i="1"/>
  <c r="W104" i="1"/>
  <c r="U104" i="1"/>
  <c r="S104" i="1"/>
  <c r="R104" i="1" s="1"/>
  <c r="Q104" i="1"/>
  <c r="P104" i="1"/>
  <c r="O104" i="1"/>
  <c r="N104" i="1"/>
  <c r="M104" i="1"/>
  <c r="K104" i="1"/>
  <c r="J104" i="1"/>
  <c r="F104" i="1"/>
  <c r="I104" i="1" s="1"/>
  <c r="L104" i="1" s="1"/>
  <c r="Y103" i="1"/>
  <c r="W103" i="1"/>
  <c r="U103" i="1"/>
  <c r="S103" i="1"/>
  <c r="R103" i="1" s="1"/>
  <c r="Q103" i="1"/>
  <c r="O103" i="1"/>
  <c r="N103" i="1"/>
  <c r="M103" i="1"/>
  <c r="L103" i="1"/>
  <c r="K103" i="1"/>
  <c r="J103" i="1"/>
  <c r="F103" i="1"/>
  <c r="I103" i="1" s="1"/>
  <c r="T103" i="1" s="1"/>
  <c r="Y102" i="1"/>
  <c r="W102" i="1"/>
  <c r="U102" i="1"/>
  <c r="T102" i="1" s="1"/>
  <c r="S102" i="1"/>
  <c r="R102" i="1" s="1"/>
  <c r="Q102" i="1"/>
  <c r="P102" i="1"/>
  <c r="O102" i="1"/>
  <c r="N102" i="1"/>
  <c r="M102" i="1"/>
  <c r="L102" i="1"/>
  <c r="K102" i="1"/>
  <c r="F102" i="1"/>
  <c r="I102" i="1" s="1"/>
  <c r="J102" i="1" s="1"/>
  <c r="Y101" i="1"/>
  <c r="W101" i="1"/>
  <c r="U101" i="1"/>
  <c r="S101" i="1"/>
  <c r="Q101" i="1"/>
  <c r="O101" i="1"/>
  <c r="M101" i="1"/>
  <c r="K101" i="1"/>
  <c r="F101" i="1"/>
  <c r="I101" i="1" s="1"/>
  <c r="Y100" i="1"/>
  <c r="W100" i="1"/>
  <c r="U100" i="1"/>
  <c r="T100" i="1"/>
  <c r="S100" i="1"/>
  <c r="Q100" i="1"/>
  <c r="O100" i="1"/>
  <c r="M100" i="1"/>
  <c r="K100" i="1"/>
  <c r="J100" i="1"/>
  <c r="F100" i="1"/>
  <c r="I100" i="1" s="1"/>
  <c r="Y99" i="1"/>
  <c r="W99" i="1"/>
  <c r="U99" i="1"/>
  <c r="T99" i="1" s="1"/>
  <c r="S99" i="1"/>
  <c r="R99" i="1" s="1"/>
  <c r="Q99" i="1"/>
  <c r="P99" i="1"/>
  <c r="O99" i="1"/>
  <c r="N99" i="1" s="1"/>
  <c r="M99" i="1"/>
  <c r="L99" i="1"/>
  <c r="K99" i="1"/>
  <c r="J99" i="1"/>
  <c r="I99" i="1"/>
  <c r="F99" i="1"/>
  <c r="Y98" i="1"/>
  <c r="W98" i="1"/>
  <c r="U98" i="1"/>
  <c r="S98" i="1"/>
  <c r="Q98" i="1"/>
  <c r="P98" i="1"/>
  <c r="O98" i="1"/>
  <c r="M98" i="1"/>
  <c r="K98" i="1"/>
  <c r="I98" i="1"/>
  <c r="F98" i="1"/>
  <c r="Y97" i="1"/>
  <c r="W97" i="1"/>
  <c r="U97" i="1"/>
  <c r="T97" i="1"/>
  <c r="S97" i="1"/>
  <c r="Q97" i="1"/>
  <c r="O97" i="1"/>
  <c r="N97" i="1"/>
  <c r="M97" i="1"/>
  <c r="L97" i="1"/>
  <c r="K97" i="1"/>
  <c r="J97" i="1"/>
  <c r="F97" i="1"/>
  <c r="I97" i="1" s="1"/>
  <c r="P97" i="1" s="1"/>
  <c r="Y96" i="1"/>
  <c r="W96" i="1"/>
  <c r="U96" i="1"/>
  <c r="T96" i="1"/>
  <c r="S96" i="1"/>
  <c r="R96" i="1"/>
  <c r="Q96" i="1"/>
  <c r="P96" i="1"/>
  <c r="O96" i="1"/>
  <c r="M96" i="1"/>
  <c r="K96" i="1"/>
  <c r="J96" i="1"/>
  <c r="I96" i="1"/>
  <c r="L96" i="1" s="1"/>
  <c r="F96" i="1"/>
  <c r="Y95" i="1"/>
  <c r="W95" i="1"/>
  <c r="U95" i="1"/>
  <c r="T95" i="1"/>
  <c r="S95" i="1"/>
  <c r="R95" i="1" s="1"/>
  <c r="Q95" i="1"/>
  <c r="O95" i="1"/>
  <c r="N95" i="1"/>
  <c r="M95" i="1"/>
  <c r="L95" i="1" s="1"/>
  <c r="K95" i="1"/>
  <c r="J95" i="1"/>
  <c r="F95" i="1"/>
  <c r="I95" i="1" s="1"/>
  <c r="P95" i="1" s="1"/>
  <c r="Y94" i="1"/>
  <c r="W94" i="1"/>
  <c r="U94" i="1"/>
  <c r="T94" i="1" s="1"/>
  <c r="S94" i="1"/>
  <c r="R94" i="1"/>
  <c r="Q94" i="1"/>
  <c r="O94" i="1"/>
  <c r="N94" i="1"/>
  <c r="M94" i="1"/>
  <c r="L94" i="1"/>
  <c r="K94" i="1"/>
  <c r="J94" i="1"/>
  <c r="F94" i="1"/>
  <c r="I94" i="1" s="1"/>
  <c r="P94" i="1" s="1"/>
  <c r="Y93" i="1"/>
  <c r="W93" i="1"/>
  <c r="U93" i="1"/>
  <c r="T93" i="1"/>
  <c r="S93" i="1"/>
  <c r="Q93" i="1"/>
  <c r="P93" i="1" s="1"/>
  <c r="O93" i="1"/>
  <c r="N93" i="1"/>
  <c r="M93" i="1"/>
  <c r="L93" i="1"/>
  <c r="K93" i="1"/>
  <c r="J93" i="1"/>
  <c r="F93" i="1"/>
  <c r="I93" i="1" s="1"/>
  <c r="Y92" i="1"/>
  <c r="W92" i="1"/>
  <c r="U92" i="1"/>
  <c r="T92" i="1" s="1"/>
  <c r="S92" i="1"/>
  <c r="R92" i="1" s="1"/>
  <c r="Q92" i="1"/>
  <c r="P92" i="1"/>
  <c r="O92" i="1"/>
  <c r="M92" i="1"/>
  <c r="L92" i="1" s="1"/>
  <c r="K92" i="1"/>
  <c r="J92" i="1"/>
  <c r="F92" i="1"/>
  <c r="I92" i="1" s="1"/>
  <c r="N92" i="1" s="1"/>
  <c r="Y91" i="1"/>
  <c r="W91" i="1"/>
  <c r="U91" i="1"/>
  <c r="T91" i="1"/>
  <c r="S91" i="1"/>
  <c r="R91" i="1" s="1"/>
  <c r="Q91" i="1"/>
  <c r="P91" i="1"/>
  <c r="O91" i="1"/>
  <c r="M91" i="1"/>
  <c r="L91" i="1"/>
  <c r="K91" i="1"/>
  <c r="J91" i="1" s="1"/>
  <c r="F91" i="1"/>
  <c r="I91" i="1" s="1"/>
  <c r="N91" i="1" s="1"/>
  <c r="Y90" i="1"/>
  <c r="W90" i="1"/>
  <c r="U90" i="1"/>
  <c r="T90" i="1"/>
  <c r="S90" i="1"/>
  <c r="R90" i="1"/>
  <c r="Q90" i="1"/>
  <c r="P90" i="1" s="1"/>
  <c r="O90" i="1"/>
  <c r="N90" i="1" s="1"/>
  <c r="M90" i="1"/>
  <c r="L90" i="1"/>
  <c r="K90" i="1"/>
  <c r="F90" i="1"/>
  <c r="I90" i="1" s="1"/>
  <c r="J90" i="1" s="1"/>
  <c r="Y89" i="1"/>
  <c r="W89" i="1"/>
  <c r="U89" i="1"/>
  <c r="T89" i="1"/>
  <c r="S89" i="1"/>
  <c r="R89" i="1" s="1"/>
  <c r="Q89" i="1"/>
  <c r="P89" i="1" s="1"/>
  <c r="O89" i="1"/>
  <c r="N89" i="1" s="1"/>
  <c r="M89" i="1"/>
  <c r="L89" i="1"/>
  <c r="K89" i="1"/>
  <c r="F89" i="1"/>
  <c r="I89" i="1" s="1"/>
  <c r="J89" i="1" s="1"/>
  <c r="Y88" i="1"/>
  <c r="W88" i="1"/>
  <c r="U88" i="1"/>
  <c r="T88" i="1"/>
  <c r="S88" i="1"/>
  <c r="R88" i="1"/>
  <c r="Q88" i="1"/>
  <c r="P88" i="1"/>
  <c r="O88" i="1"/>
  <c r="N88" i="1"/>
  <c r="M88" i="1"/>
  <c r="L88" i="1"/>
  <c r="K88" i="1"/>
  <c r="J88" i="1"/>
  <c r="F88" i="1"/>
  <c r="I88" i="1" s="1"/>
  <c r="Y87" i="1"/>
  <c r="W87" i="1"/>
  <c r="U87" i="1"/>
  <c r="S87" i="1"/>
  <c r="R87" i="1" s="1"/>
  <c r="Q87" i="1"/>
  <c r="P87" i="1"/>
  <c r="O87" i="1"/>
  <c r="N87" i="1"/>
  <c r="M87" i="1"/>
  <c r="L87" i="1"/>
  <c r="K87" i="1"/>
  <c r="J87" i="1" s="1"/>
  <c r="I87" i="1"/>
  <c r="T87" i="1" s="1"/>
  <c r="F87" i="1"/>
  <c r="Y86" i="1"/>
  <c r="W86" i="1"/>
  <c r="U86" i="1"/>
  <c r="T86" i="1"/>
  <c r="S86" i="1"/>
  <c r="R86" i="1"/>
  <c r="Q86" i="1"/>
  <c r="P86" i="1"/>
  <c r="O86" i="1"/>
  <c r="N86" i="1"/>
  <c r="M86" i="1"/>
  <c r="L86" i="1"/>
  <c r="K86" i="1"/>
  <c r="J86" i="1"/>
  <c r="F86" i="1"/>
  <c r="I86" i="1" s="1"/>
  <c r="Y85" i="1"/>
  <c r="W85" i="1"/>
  <c r="U85" i="1"/>
  <c r="S85" i="1"/>
  <c r="Q85" i="1"/>
  <c r="O85" i="1"/>
  <c r="M85" i="1"/>
  <c r="K85" i="1"/>
  <c r="F85" i="1"/>
  <c r="I85" i="1" s="1"/>
  <c r="Y84" i="1"/>
  <c r="W84" i="1"/>
  <c r="U84" i="1"/>
  <c r="T84" i="1" s="1"/>
  <c r="S84" i="1"/>
  <c r="R84" i="1" s="1"/>
  <c r="Q84" i="1"/>
  <c r="O84" i="1"/>
  <c r="N84" i="1"/>
  <c r="M84" i="1"/>
  <c r="L84" i="1"/>
  <c r="K84" i="1"/>
  <c r="J84" i="1"/>
  <c r="I84" i="1"/>
  <c r="P84" i="1" s="1"/>
  <c r="F84" i="1"/>
  <c r="Y83" i="1"/>
  <c r="W83" i="1"/>
  <c r="U83" i="1"/>
  <c r="T83" i="1" s="1"/>
  <c r="S83" i="1"/>
  <c r="R83" i="1" s="1"/>
  <c r="Q83" i="1"/>
  <c r="O83" i="1"/>
  <c r="N83" i="1"/>
  <c r="M83" i="1"/>
  <c r="L83" i="1"/>
  <c r="K83" i="1"/>
  <c r="J83" i="1"/>
  <c r="I83" i="1"/>
  <c r="F83" i="1"/>
  <c r="Y82" i="1"/>
  <c r="W82" i="1"/>
  <c r="U82" i="1"/>
  <c r="T82" i="1" s="1"/>
  <c r="S82" i="1"/>
  <c r="R82" i="1"/>
  <c r="Q82" i="1"/>
  <c r="P82" i="1"/>
  <c r="O82" i="1"/>
  <c r="N82" i="1"/>
  <c r="M82" i="1"/>
  <c r="L82" i="1"/>
  <c r="K82" i="1"/>
  <c r="J82" i="1"/>
  <c r="F82" i="1"/>
  <c r="I82" i="1" s="1"/>
  <c r="Y81" i="1"/>
  <c r="W81" i="1"/>
  <c r="U81" i="1"/>
  <c r="T81" i="1"/>
  <c r="S81" i="1"/>
  <c r="Q81" i="1"/>
  <c r="O81" i="1"/>
  <c r="N81" i="1"/>
  <c r="M81" i="1"/>
  <c r="L81" i="1"/>
  <c r="K81" i="1"/>
  <c r="F81" i="1"/>
  <c r="I81" i="1" s="1"/>
  <c r="P81" i="1" s="1"/>
  <c r="Y80" i="1"/>
  <c r="W80" i="1"/>
  <c r="U80" i="1"/>
  <c r="T80" i="1"/>
  <c r="S80" i="1"/>
  <c r="R80" i="1" s="1"/>
  <c r="Q80" i="1"/>
  <c r="P80" i="1"/>
  <c r="O80" i="1"/>
  <c r="N80" i="1" s="1"/>
  <c r="M80" i="1"/>
  <c r="L80" i="1"/>
  <c r="K80" i="1"/>
  <c r="J80" i="1"/>
  <c r="F80" i="1"/>
  <c r="I80" i="1" s="1"/>
  <c r="Y79" i="1"/>
  <c r="W79" i="1"/>
  <c r="U79" i="1"/>
  <c r="T79" i="1"/>
  <c r="S79" i="1"/>
  <c r="R79" i="1" s="1"/>
  <c r="Q79" i="1"/>
  <c r="O79" i="1"/>
  <c r="N79" i="1"/>
  <c r="M79" i="1"/>
  <c r="L79" i="1" s="1"/>
  <c r="K79" i="1"/>
  <c r="J79" i="1"/>
  <c r="F79" i="1"/>
  <c r="I79" i="1" s="1"/>
  <c r="P79" i="1" s="1"/>
  <c r="Y78" i="1"/>
  <c r="W78" i="1"/>
  <c r="U78" i="1"/>
  <c r="S78" i="1"/>
  <c r="R78" i="1"/>
  <c r="Q78" i="1"/>
  <c r="P78" i="1"/>
  <c r="O78" i="1"/>
  <c r="N78" i="1"/>
  <c r="M78" i="1"/>
  <c r="L78" i="1"/>
  <c r="K78" i="1"/>
  <c r="J78" i="1"/>
  <c r="F78" i="1"/>
  <c r="I78" i="1" s="1"/>
  <c r="Y77" i="1"/>
  <c r="W77" i="1"/>
  <c r="U77" i="1"/>
  <c r="T77" i="1"/>
  <c r="S77" i="1"/>
  <c r="R77" i="1" s="1"/>
  <c r="Q77" i="1"/>
  <c r="P77" i="1"/>
  <c r="O77" i="1"/>
  <c r="N77" i="1" s="1"/>
  <c r="M77" i="1"/>
  <c r="L77" i="1" s="1"/>
  <c r="K77" i="1"/>
  <c r="J77" i="1"/>
  <c r="I77" i="1"/>
  <c r="F77" i="1"/>
  <c r="Y76" i="1"/>
  <c r="W76" i="1"/>
  <c r="U76" i="1"/>
  <c r="T76" i="1"/>
  <c r="S76" i="1"/>
  <c r="R76" i="1"/>
  <c r="Q76" i="1"/>
  <c r="P76" i="1"/>
  <c r="O76" i="1"/>
  <c r="M76" i="1"/>
  <c r="L76" i="1"/>
  <c r="K76" i="1"/>
  <c r="J76" i="1"/>
  <c r="F76" i="1"/>
  <c r="I76" i="1" s="1"/>
  <c r="N76" i="1" s="1"/>
  <c r="Y75" i="1"/>
  <c r="W75" i="1"/>
  <c r="U75" i="1"/>
  <c r="T75" i="1" s="1"/>
  <c r="S75" i="1"/>
  <c r="R75" i="1" s="1"/>
  <c r="Q75" i="1"/>
  <c r="P75" i="1"/>
  <c r="O75" i="1"/>
  <c r="N75" i="1"/>
  <c r="M75" i="1"/>
  <c r="L75" i="1" s="1"/>
  <c r="K75" i="1"/>
  <c r="F75" i="1"/>
  <c r="I75" i="1" s="1"/>
  <c r="Y74" i="1"/>
  <c r="W74" i="1"/>
  <c r="U74" i="1"/>
  <c r="T74" i="1"/>
  <c r="S74" i="1"/>
  <c r="Q74" i="1"/>
  <c r="P74" i="1"/>
  <c r="O74" i="1"/>
  <c r="M74" i="1"/>
  <c r="L74" i="1"/>
  <c r="K74" i="1"/>
  <c r="J74" i="1"/>
  <c r="F74" i="1"/>
  <c r="I74" i="1" s="1"/>
  <c r="N74" i="1" s="1"/>
  <c r="Y73" i="1"/>
  <c r="W73" i="1"/>
  <c r="U73" i="1"/>
  <c r="T73" i="1"/>
  <c r="S73" i="1"/>
  <c r="Q73" i="1"/>
  <c r="P73" i="1"/>
  <c r="O73" i="1"/>
  <c r="N73" i="1"/>
  <c r="M73" i="1"/>
  <c r="L73" i="1" s="1"/>
  <c r="K73" i="1"/>
  <c r="J73" i="1" s="1"/>
  <c r="I73" i="1"/>
  <c r="F73" i="1"/>
  <c r="Y72" i="1"/>
  <c r="W72" i="1"/>
  <c r="U72" i="1"/>
  <c r="T72" i="1"/>
  <c r="S72" i="1"/>
  <c r="R72" i="1"/>
  <c r="Q72" i="1"/>
  <c r="O72" i="1"/>
  <c r="N72" i="1"/>
  <c r="M72" i="1"/>
  <c r="L72" i="1"/>
  <c r="K72" i="1"/>
  <c r="I72" i="1"/>
  <c r="F72" i="1"/>
  <c r="Y71" i="1"/>
  <c r="W71" i="1"/>
  <c r="U71" i="1"/>
  <c r="S71" i="1"/>
  <c r="R71" i="1" s="1"/>
  <c r="Q71" i="1"/>
  <c r="P71" i="1"/>
  <c r="O71" i="1"/>
  <c r="N71" i="1"/>
  <c r="M71" i="1"/>
  <c r="L71" i="1"/>
  <c r="K71" i="1"/>
  <c r="J71" i="1" s="1"/>
  <c r="F71" i="1"/>
  <c r="I71" i="1" s="1"/>
  <c r="T71" i="1" s="1"/>
  <c r="Y70" i="1"/>
  <c r="W70" i="1"/>
  <c r="U70" i="1"/>
  <c r="T70" i="1"/>
  <c r="S70" i="1"/>
  <c r="Q70" i="1"/>
  <c r="O70" i="1"/>
  <c r="N70" i="1"/>
  <c r="M70" i="1"/>
  <c r="L70" i="1"/>
  <c r="K70" i="1"/>
  <c r="J70" i="1"/>
  <c r="F70" i="1"/>
  <c r="I70" i="1" s="1"/>
  <c r="R70" i="1" s="1"/>
  <c r="Y69" i="1"/>
  <c r="W69" i="1"/>
  <c r="U69" i="1"/>
  <c r="T69" i="1" s="1"/>
  <c r="S69" i="1"/>
  <c r="R69" i="1" s="1"/>
  <c r="Q69" i="1"/>
  <c r="P69" i="1" s="1"/>
  <c r="O69" i="1"/>
  <c r="N69" i="1"/>
  <c r="M69" i="1"/>
  <c r="K69" i="1"/>
  <c r="J69" i="1"/>
  <c r="F69" i="1"/>
  <c r="I69" i="1" s="1"/>
  <c r="L69" i="1" s="1"/>
  <c r="Y68" i="1"/>
  <c r="W68" i="1"/>
  <c r="U68" i="1"/>
  <c r="S68" i="1"/>
  <c r="R68" i="1"/>
  <c r="Q68" i="1"/>
  <c r="P68" i="1" s="1"/>
  <c r="O68" i="1"/>
  <c r="N68" i="1"/>
  <c r="M68" i="1"/>
  <c r="K68" i="1"/>
  <c r="J68" i="1"/>
  <c r="F68" i="1"/>
  <c r="I68" i="1" s="1"/>
  <c r="L68" i="1" s="1"/>
  <c r="Y67" i="1"/>
  <c r="W67" i="1"/>
  <c r="U67" i="1"/>
  <c r="T67" i="1"/>
  <c r="S67" i="1"/>
  <c r="R67" i="1" s="1"/>
  <c r="Q67" i="1"/>
  <c r="P67" i="1" s="1"/>
  <c r="O67" i="1"/>
  <c r="N67" i="1"/>
  <c r="M67" i="1"/>
  <c r="L67" i="1"/>
  <c r="K67" i="1"/>
  <c r="F67" i="1"/>
  <c r="I67" i="1" s="1"/>
  <c r="J67" i="1" s="1"/>
  <c r="Y66" i="1"/>
  <c r="W66" i="1"/>
  <c r="U66" i="1"/>
  <c r="T66" i="1" s="1"/>
  <c r="S66" i="1"/>
  <c r="R66" i="1"/>
  <c r="Q66" i="1"/>
  <c r="O66" i="1"/>
  <c r="N66" i="1" s="1"/>
  <c r="M66" i="1"/>
  <c r="L66" i="1"/>
  <c r="K66" i="1"/>
  <c r="J66" i="1"/>
  <c r="F66" i="1"/>
  <c r="I66" i="1" s="1"/>
  <c r="P66" i="1" s="1"/>
  <c r="Y65" i="1"/>
  <c r="W65" i="1"/>
  <c r="U65" i="1"/>
  <c r="T65" i="1"/>
  <c r="S65" i="1"/>
  <c r="R65" i="1" s="1"/>
  <c r="Q65" i="1"/>
  <c r="P65" i="1" s="1"/>
  <c r="O65" i="1"/>
  <c r="N65" i="1" s="1"/>
  <c r="M65" i="1"/>
  <c r="L65" i="1"/>
  <c r="K65" i="1"/>
  <c r="J65" i="1"/>
  <c r="F65" i="1"/>
  <c r="I65" i="1" s="1"/>
  <c r="Y64" i="1"/>
  <c r="W64" i="1"/>
  <c r="U64" i="1"/>
  <c r="T64" i="1"/>
  <c r="S64" i="1"/>
  <c r="R64" i="1" s="1"/>
  <c r="Q64" i="1"/>
  <c r="O64" i="1"/>
  <c r="N64" i="1" s="1"/>
  <c r="M64" i="1"/>
  <c r="L64" i="1"/>
  <c r="K64" i="1"/>
  <c r="F64" i="1"/>
  <c r="I64" i="1" s="1"/>
  <c r="Y63" i="1"/>
  <c r="W63" i="1"/>
  <c r="U63" i="1"/>
  <c r="T63" i="1"/>
  <c r="S63" i="1"/>
  <c r="R63" i="1" s="1"/>
  <c r="Q63" i="1"/>
  <c r="P63" i="1"/>
  <c r="O63" i="1"/>
  <c r="N63" i="1"/>
  <c r="M63" i="1"/>
  <c r="L63" i="1"/>
  <c r="K63" i="1"/>
  <c r="F63" i="1"/>
  <c r="I63" i="1" s="1"/>
  <c r="J63" i="1" s="1"/>
  <c r="Y62" i="1"/>
  <c r="W62" i="1"/>
  <c r="U62" i="1"/>
  <c r="T62" i="1"/>
  <c r="S62" i="1"/>
  <c r="R62" i="1"/>
  <c r="Q62" i="1"/>
  <c r="O62" i="1"/>
  <c r="N62" i="1" s="1"/>
  <c r="M62" i="1"/>
  <c r="L62" i="1" s="1"/>
  <c r="K62" i="1"/>
  <c r="J62" i="1"/>
  <c r="I62" i="1"/>
  <c r="P62" i="1" s="1"/>
  <c r="F62" i="1"/>
  <c r="Y61" i="1"/>
  <c r="W61" i="1"/>
  <c r="U61" i="1"/>
  <c r="T61" i="1"/>
  <c r="S61" i="1"/>
  <c r="R61" i="1"/>
  <c r="Q61" i="1"/>
  <c r="P61" i="1"/>
  <c r="O61" i="1"/>
  <c r="N61" i="1"/>
  <c r="M61" i="1"/>
  <c r="K61" i="1"/>
  <c r="J61" i="1"/>
  <c r="I61" i="1"/>
  <c r="L61" i="1" s="1"/>
  <c r="F61" i="1"/>
  <c r="Y60" i="1"/>
  <c r="W60" i="1"/>
  <c r="U60" i="1"/>
  <c r="T60" i="1"/>
  <c r="S60" i="1"/>
  <c r="R60" i="1"/>
  <c r="Q60" i="1"/>
  <c r="P60" i="1"/>
  <c r="O60" i="1"/>
  <c r="N60" i="1"/>
  <c r="M60" i="1"/>
  <c r="L60" i="1" s="1"/>
  <c r="K60" i="1"/>
  <c r="F60" i="1"/>
  <c r="I60" i="1" s="1"/>
  <c r="J60" i="1" s="1"/>
  <c r="Y59" i="1"/>
  <c r="W59" i="1"/>
  <c r="U59" i="1"/>
  <c r="T59" i="1"/>
  <c r="S59" i="1"/>
  <c r="Q59" i="1"/>
  <c r="O59" i="1"/>
  <c r="N59" i="1"/>
  <c r="M59" i="1"/>
  <c r="L59" i="1"/>
  <c r="K59" i="1"/>
  <c r="J59" i="1"/>
  <c r="F59" i="1"/>
  <c r="I59" i="1" s="1"/>
  <c r="Y58" i="1"/>
  <c r="W58" i="1"/>
  <c r="U58" i="1"/>
  <c r="T58" i="1"/>
  <c r="S58" i="1"/>
  <c r="Q58" i="1"/>
  <c r="O58" i="1"/>
  <c r="N58" i="1"/>
  <c r="M58" i="1"/>
  <c r="L58" i="1" s="1"/>
  <c r="K58" i="1"/>
  <c r="J58" i="1"/>
  <c r="F58" i="1"/>
  <c r="I58" i="1" s="1"/>
  <c r="Y57" i="1"/>
  <c r="W57" i="1"/>
  <c r="U57" i="1"/>
  <c r="S57" i="1"/>
  <c r="Q57" i="1"/>
  <c r="O57" i="1"/>
  <c r="M57" i="1"/>
  <c r="K57" i="1"/>
  <c r="F57" i="1"/>
  <c r="I57" i="1" s="1"/>
  <c r="Y56" i="1"/>
  <c r="W56" i="1"/>
  <c r="U56" i="1"/>
  <c r="T56" i="1" s="1"/>
  <c r="S56" i="1"/>
  <c r="R56" i="1"/>
  <c r="Q56" i="1"/>
  <c r="O56" i="1"/>
  <c r="M56" i="1"/>
  <c r="L56" i="1" s="1"/>
  <c r="K56" i="1"/>
  <c r="J56" i="1"/>
  <c r="F56" i="1"/>
  <c r="I56" i="1" s="1"/>
  <c r="Y55" i="1"/>
  <c r="W55" i="1"/>
  <c r="U55" i="1"/>
  <c r="T55" i="1" s="1"/>
  <c r="S55" i="1"/>
  <c r="R55" i="1"/>
  <c r="Q55" i="1"/>
  <c r="P55" i="1"/>
  <c r="O55" i="1"/>
  <c r="M55" i="1"/>
  <c r="L55" i="1"/>
  <c r="K55" i="1"/>
  <c r="J55" i="1"/>
  <c r="F55" i="1"/>
  <c r="I55" i="1" s="1"/>
  <c r="N55" i="1" s="1"/>
  <c r="Y54" i="1"/>
  <c r="W54" i="1"/>
  <c r="U54" i="1"/>
  <c r="T54" i="1"/>
  <c r="S54" i="1"/>
  <c r="R54" i="1" s="1"/>
  <c r="Q54" i="1"/>
  <c r="O54" i="1"/>
  <c r="N54" i="1"/>
  <c r="M54" i="1"/>
  <c r="L54" i="1" s="1"/>
  <c r="K54" i="1"/>
  <c r="J54" i="1"/>
  <c r="F54" i="1"/>
  <c r="I54" i="1" s="1"/>
  <c r="P54" i="1" s="1"/>
  <c r="Y53" i="1"/>
  <c r="W53" i="1"/>
  <c r="U53" i="1"/>
  <c r="T53" i="1" s="1"/>
  <c r="S53" i="1"/>
  <c r="R53" i="1" s="1"/>
  <c r="Q53" i="1"/>
  <c r="P53" i="1"/>
  <c r="O53" i="1"/>
  <c r="N53" i="1"/>
  <c r="M53" i="1"/>
  <c r="L53" i="1"/>
  <c r="K53" i="1"/>
  <c r="F53" i="1"/>
  <c r="I53" i="1" s="1"/>
  <c r="J53" i="1" s="1"/>
  <c r="Y52" i="1"/>
  <c r="W52" i="1"/>
  <c r="U52" i="1"/>
  <c r="S52" i="1"/>
  <c r="R52" i="1"/>
  <c r="Q52" i="1"/>
  <c r="P52" i="1"/>
  <c r="O52" i="1"/>
  <c r="M52" i="1"/>
  <c r="L52" i="1" s="1"/>
  <c r="K52" i="1"/>
  <c r="J52" i="1"/>
  <c r="F52" i="1"/>
  <c r="I52" i="1" s="1"/>
  <c r="N52" i="1" s="1"/>
  <c r="Y51" i="1"/>
  <c r="W51" i="1"/>
  <c r="U51" i="1"/>
  <c r="T51" i="1"/>
  <c r="S51" i="1"/>
  <c r="R51" i="1"/>
  <c r="Q51" i="1"/>
  <c r="O51" i="1"/>
  <c r="M51" i="1"/>
  <c r="L51" i="1"/>
  <c r="K51" i="1"/>
  <c r="J51" i="1"/>
  <c r="F51" i="1"/>
  <c r="I51" i="1" s="1"/>
  <c r="P51" i="1" s="1"/>
  <c r="Y50" i="1"/>
  <c r="W50" i="1"/>
  <c r="U50" i="1"/>
  <c r="T50" i="1"/>
  <c r="S50" i="1"/>
  <c r="R50" i="1"/>
  <c r="Q50" i="1"/>
  <c r="O50" i="1"/>
  <c r="N50" i="1" s="1"/>
  <c r="M50" i="1"/>
  <c r="L50" i="1" s="1"/>
  <c r="K50" i="1"/>
  <c r="F50" i="1"/>
  <c r="I50" i="1" s="1"/>
  <c r="Y49" i="1"/>
  <c r="W49" i="1"/>
  <c r="U49" i="1"/>
  <c r="T49" i="1"/>
  <c r="S49" i="1"/>
  <c r="R49" i="1"/>
  <c r="Q49" i="1"/>
  <c r="O49" i="1"/>
  <c r="N49" i="1"/>
  <c r="M49" i="1"/>
  <c r="L49" i="1"/>
  <c r="K49" i="1"/>
  <c r="J49" i="1"/>
  <c r="F49" i="1"/>
  <c r="I49" i="1" s="1"/>
  <c r="P49" i="1" s="1"/>
  <c r="Y48" i="1"/>
  <c r="W48" i="1"/>
  <c r="U48" i="1"/>
  <c r="T48" i="1"/>
  <c r="S48" i="1"/>
  <c r="R48" i="1"/>
  <c r="Q48" i="1"/>
  <c r="P48" i="1"/>
  <c r="O48" i="1"/>
  <c r="N48" i="1" s="1"/>
  <c r="M48" i="1"/>
  <c r="L48" i="1" s="1"/>
  <c r="K48" i="1"/>
  <c r="F48" i="1"/>
  <c r="I48" i="1" s="1"/>
  <c r="J48" i="1" s="1"/>
  <c r="Y47" i="1"/>
  <c r="W47" i="1"/>
  <c r="U47" i="1"/>
  <c r="S47" i="1"/>
  <c r="Q47" i="1"/>
  <c r="P47" i="1" s="1"/>
  <c r="O47" i="1"/>
  <c r="N47" i="1" s="1"/>
  <c r="M47" i="1"/>
  <c r="L47" i="1"/>
  <c r="K47" i="1"/>
  <c r="J47" i="1"/>
  <c r="F47" i="1"/>
  <c r="I47" i="1" s="1"/>
  <c r="T47" i="1" s="1"/>
  <c r="Y46" i="1"/>
  <c r="W46" i="1"/>
  <c r="U46" i="1"/>
  <c r="T46" i="1"/>
  <c r="S46" i="1"/>
  <c r="Q46" i="1"/>
  <c r="O46" i="1"/>
  <c r="N46" i="1"/>
  <c r="M46" i="1"/>
  <c r="L46" i="1" s="1"/>
  <c r="K46" i="1"/>
  <c r="J46" i="1"/>
  <c r="F46" i="1"/>
  <c r="I46" i="1" s="1"/>
  <c r="Y45" i="1"/>
  <c r="W45" i="1"/>
  <c r="U45" i="1"/>
  <c r="T45" i="1"/>
  <c r="S45" i="1"/>
  <c r="Q45" i="1"/>
  <c r="P45" i="1"/>
  <c r="O45" i="1"/>
  <c r="N45" i="1" s="1"/>
  <c r="M45" i="1"/>
  <c r="L45" i="1"/>
  <c r="K45" i="1"/>
  <c r="J45" i="1"/>
  <c r="F45" i="1"/>
  <c r="I45" i="1" s="1"/>
  <c r="R45" i="1" s="1"/>
  <c r="Y44" i="1"/>
  <c r="W44" i="1"/>
  <c r="U44" i="1"/>
  <c r="T44" i="1"/>
  <c r="S44" i="1"/>
  <c r="R44" i="1"/>
  <c r="Q44" i="1"/>
  <c r="O44" i="1"/>
  <c r="N44" i="1" s="1"/>
  <c r="M44" i="1"/>
  <c r="L44" i="1" s="1"/>
  <c r="K44" i="1"/>
  <c r="J44" i="1"/>
  <c r="I44" i="1"/>
  <c r="P44" i="1" s="1"/>
  <c r="F44" i="1"/>
  <c r="Y43" i="1"/>
  <c r="W43" i="1"/>
  <c r="U43" i="1"/>
  <c r="T43" i="1"/>
  <c r="S43" i="1"/>
  <c r="Q43" i="1"/>
  <c r="P43" i="1"/>
  <c r="O43" i="1"/>
  <c r="N43" i="1" s="1"/>
  <c r="M43" i="1"/>
  <c r="L43" i="1"/>
  <c r="K43" i="1"/>
  <c r="J43" i="1"/>
  <c r="F43" i="1"/>
  <c r="I43" i="1" s="1"/>
  <c r="R43" i="1" s="1"/>
  <c r="Y42" i="1"/>
  <c r="W42" i="1"/>
  <c r="U42" i="1"/>
  <c r="S42" i="1"/>
  <c r="R42" i="1"/>
  <c r="Q42" i="1"/>
  <c r="O42" i="1"/>
  <c r="M42" i="1"/>
  <c r="L42" i="1" s="1"/>
  <c r="K42" i="1"/>
  <c r="J42" i="1"/>
  <c r="I42" i="1"/>
  <c r="F42" i="1"/>
  <c r="Y41" i="1"/>
  <c r="W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F41" i="1"/>
  <c r="Y40" i="1"/>
  <c r="W40" i="1"/>
  <c r="U40" i="1"/>
  <c r="T40" i="1"/>
  <c r="S40" i="1"/>
  <c r="R40" i="1"/>
  <c r="Q40" i="1"/>
  <c r="P40" i="1"/>
  <c r="O40" i="1"/>
  <c r="N40" i="1"/>
  <c r="M40" i="1"/>
  <c r="L40" i="1" s="1"/>
  <c r="K40" i="1"/>
  <c r="J40" i="1"/>
  <c r="F40" i="1"/>
  <c r="I40" i="1" s="1"/>
  <c r="Y39" i="1"/>
  <c r="W39" i="1"/>
  <c r="U39" i="1"/>
  <c r="T39" i="1"/>
  <c r="S39" i="1"/>
  <c r="Q39" i="1"/>
  <c r="O39" i="1"/>
  <c r="N39" i="1"/>
  <c r="M39" i="1"/>
  <c r="L39" i="1"/>
  <c r="K39" i="1"/>
  <c r="J39" i="1"/>
  <c r="F39" i="1"/>
  <c r="I39" i="1" s="1"/>
  <c r="Y38" i="1"/>
  <c r="W38" i="1"/>
  <c r="U38" i="1"/>
  <c r="T38" i="1" s="1"/>
  <c r="S38" i="1"/>
  <c r="R38" i="1"/>
  <c r="Q38" i="1"/>
  <c r="P38" i="1"/>
  <c r="O38" i="1"/>
  <c r="N38" i="1"/>
  <c r="M38" i="1"/>
  <c r="L38" i="1" s="1"/>
  <c r="K38" i="1"/>
  <c r="F38" i="1"/>
  <c r="I38" i="1" s="1"/>
  <c r="J38" i="1" s="1"/>
  <c r="Y37" i="1"/>
  <c r="W37" i="1"/>
  <c r="U37" i="1"/>
  <c r="S37" i="1"/>
  <c r="R37" i="1"/>
  <c r="Q37" i="1"/>
  <c r="P37" i="1"/>
  <c r="O37" i="1"/>
  <c r="N37" i="1"/>
  <c r="M37" i="1"/>
  <c r="K37" i="1"/>
  <c r="J37" i="1"/>
  <c r="F37" i="1"/>
  <c r="I37" i="1" s="1"/>
  <c r="L37" i="1" s="1"/>
  <c r="Y36" i="1"/>
  <c r="W36" i="1"/>
  <c r="U36" i="1"/>
  <c r="T36" i="1"/>
  <c r="S36" i="1"/>
  <c r="R36" i="1" s="1"/>
  <c r="Q36" i="1"/>
  <c r="P36" i="1"/>
  <c r="O36" i="1"/>
  <c r="N36" i="1"/>
  <c r="M36" i="1"/>
  <c r="L36" i="1" s="1"/>
  <c r="K36" i="1"/>
  <c r="F36" i="1"/>
  <c r="I36" i="1" s="1"/>
  <c r="J36" i="1" s="1"/>
  <c r="Y35" i="1"/>
  <c r="W35" i="1"/>
  <c r="U35" i="1"/>
  <c r="S35" i="1"/>
  <c r="R35" i="1" s="1"/>
  <c r="Q35" i="1"/>
  <c r="P35" i="1"/>
  <c r="O35" i="1"/>
  <c r="M35" i="1"/>
  <c r="L35" i="1"/>
  <c r="K35" i="1"/>
  <c r="J35" i="1"/>
  <c r="F35" i="1"/>
  <c r="I35" i="1" s="1"/>
  <c r="Y34" i="1"/>
  <c r="W34" i="1"/>
  <c r="U34" i="1"/>
  <c r="T34" i="1" s="1"/>
  <c r="S34" i="1"/>
  <c r="R34" i="1"/>
  <c r="Q34" i="1"/>
  <c r="P34" i="1"/>
  <c r="O34" i="1"/>
  <c r="M34" i="1"/>
  <c r="L34" i="1"/>
  <c r="K34" i="1"/>
  <c r="J34" i="1"/>
  <c r="I34" i="1"/>
  <c r="N34" i="1" s="1"/>
  <c r="F34" i="1"/>
  <c r="Y33" i="1"/>
  <c r="W33" i="1"/>
  <c r="U33" i="1"/>
  <c r="T33" i="1"/>
  <c r="S33" i="1"/>
  <c r="R33" i="1" s="1"/>
  <c r="Q33" i="1"/>
  <c r="O33" i="1"/>
  <c r="N33" i="1"/>
  <c r="M33" i="1"/>
  <c r="L33" i="1"/>
  <c r="K33" i="1"/>
  <c r="J33" i="1"/>
  <c r="I33" i="1"/>
  <c r="P33" i="1" s="1"/>
  <c r="F33" i="1"/>
  <c r="Y32" i="1"/>
  <c r="W32" i="1"/>
  <c r="U32" i="1"/>
  <c r="T32" i="1" s="1"/>
  <c r="S32" i="1"/>
  <c r="R32" i="1"/>
  <c r="Q32" i="1"/>
  <c r="O32" i="1"/>
  <c r="N32" i="1"/>
  <c r="M32" i="1"/>
  <c r="L32" i="1"/>
  <c r="K32" i="1"/>
  <c r="J32" i="1"/>
  <c r="I32" i="1"/>
  <c r="P32" i="1" s="1"/>
  <c r="F32" i="1"/>
  <c r="Y31" i="1"/>
  <c r="W31" i="1"/>
  <c r="U31" i="1"/>
  <c r="T31" i="1" s="1"/>
  <c r="S31" i="1"/>
  <c r="R31" i="1"/>
  <c r="Q31" i="1"/>
  <c r="O31" i="1"/>
  <c r="N31" i="1"/>
  <c r="M31" i="1"/>
  <c r="L31" i="1"/>
  <c r="K31" i="1"/>
  <c r="J31" i="1"/>
  <c r="F31" i="1"/>
  <c r="I31" i="1" s="1"/>
  <c r="P31" i="1" s="1"/>
  <c r="Y30" i="1"/>
  <c r="W30" i="1"/>
  <c r="U30" i="1"/>
  <c r="S30" i="1"/>
  <c r="Q30" i="1"/>
  <c r="O30" i="1"/>
  <c r="M30" i="1"/>
  <c r="K30" i="1"/>
  <c r="F30" i="1"/>
  <c r="I30" i="1" s="1"/>
  <c r="Y29" i="1"/>
  <c r="W29" i="1"/>
  <c r="U29" i="1"/>
  <c r="T29" i="1"/>
  <c r="S29" i="1"/>
  <c r="R29" i="1"/>
  <c r="Q29" i="1"/>
  <c r="P29" i="1" s="1"/>
  <c r="O29" i="1"/>
  <c r="N29" i="1"/>
  <c r="M29" i="1"/>
  <c r="L29" i="1"/>
  <c r="K29" i="1"/>
  <c r="J29" i="1"/>
  <c r="F29" i="1"/>
  <c r="I29" i="1" s="1"/>
  <c r="Y28" i="1"/>
  <c r="W28" i="1"/>
  <c r="U28" i="1"/>
  <c r="T28" i="1" s="1"/>
  <c r="S28" i="1"/>
  <c r="R28" i="1" s="1"/>
  <c r="Q28" i="1"/>
  <c r="P28" i="1"/>
  <c r="O28" i="1"/>
  <c r="N28" i="1"/>
  <c r="M28" i="1"/>
  <c r="L28" i="1"/>
  <c r="K28" i="1"/>
  <c r="F28" i="1"/>
  <c r="I28" i="1" s="1"/>
  <c r="J28" i="1" s="1"/>
  <c r="Y27" i="1"/>
  <c r="W27" i="1"/>
  <c r="U27" i="1"/>
  <c r="T27" i="1"/>
  <c r="S27" i="1"/>
  <c r="R27" i="1"/>
  <c r="Q27" i="1"/>
  <c r="P27" i="1" s="1"/>
  <c r="O27" i="1"/>
  <c r="N27" i="1"/>
  <c r="M27" i="1"/>
  <c r="L27" i="1"/>
  <c r="K27" i="1"/>
  <c r="F27" i="1"/>
  <c r="I27" i="1" s="1"/>
  <c r="J27" i="1" s="1"/>
  <c r="Y26" i="1"/>
  <c r="W26" i="1"/>
  <c r="U26" i="1"/>
  <c r="S26" i="1"/>
  <c r="R26" i="1" s="1"/>
  <c r="Q26" i="1"/>
  <c r="P26" i="1"/>
  <c r="O26" i="1"/>
  <c r="N26" i="1"/>
  <c r="M26" i="1"/>
  <c r="L26" i="1"/>
  <c r="K26" i="1"/>
  <c r="J26" i="1"/>
  <c r="F26" i="1"/>
  <c r="I26" i="1" s="1"/>
  <c r="Y25" i="1"/>
  <c r="W25" i="1"/>
  <c r="U25" i="1"/>
  <c r="T25" i="1"/>
  <c r="S25" i="1"/>
  <c r="R25" i="1"/>
  <c r="Q25" i="1"/>
  <c r="O25" i="1"/>
  <c r="M25" i="1"/>
  <c r="K25" i="1"/>
  <c r="F25" i="1"/>
  <c r="I25" i="1" s="1"/>
  <c r="Y24" i="1"/>
  <c r="W24" i="1"/>
  <c r="U24" i="1"/>
  <c r="T24" i="1"/>
  <c r="S24" i="1"/>
  <c r="R24" i="1"/>
  <c r="Q24" i="1"/>
  <c r="P24" i="1"/>
  <c r="O24" i="1"/>
  <c r="N24" i="1" s="1"/>
  <c r="M24" i="1"/>
  <c r="L24" i="1"/>
  <c r="K24" i="1"/>
  <c r="J24" i="1"/>
  <c r="F24" i="1"/>
  <c r="I24" i="1" s="1"/>
  <c r="Y23" i="1"/>
  <c r="W23" i="1"/>
  <c r="U23" i="1"/>
  <c r="T23" i="1"/>
  <c r="S23" i="1"/>
  <c r="R23" i="1"/>
  <c r="Q23" i="1"/>
  <c r="P23" i="1"/>
  <c r="O23" i="1"/>
  <c r="N23" i="1"/>
  <c r="M23" i="1"/>
  <c r="L23" i="1"/>
  <c r="K23" i="1"/>
  <c r="J23" i="1"/>
  <c r="F23" i="1"/>
  <c r="I23" i="1" s="1"/>
  <c r="Y22" i="1"/>
  <c r="W22" i="1"/>
  <c r="U22" i="1"/>
  <c r="T22" i="1"/>
  <c r="S22" i="1"/>
  <c r="R22" i="1"/>
  <c r="Q22" i="1"/>
  <c r="P22" i="1"/>
  <c r="O22" i="1"/>
  <c r="N22" i="1" s="1"/>
  <c r="M22" i="1"/>
  <c r="L22" i="1"/>
  <c r="K22" i="1"/>
  <c r="J22" i="1"/>
  <c r="F22" i="1"/>
  <c r="I22" i="1" s="1"/>
  <c r="Y21" i="1"/>
  <c r="W21" i="1"/>
  <c r="U21" i="1"/>
  <c r="T21" i="1" s="1"/>
  <c r="S21" i="1"/>
  <c r="R21" i="1"/>
  <c r="Q21" i="1"/>
  <c r="P21" i="1"/>
  <c r="O21" i="1"/>
  <c r="M21" i="1"/>
  <c r="L21" i="1"/>
  <c r="K21" i="1"/>
  <c r="J21" i="1"/>
  <c r="F21" i="1"/>
  <c r="I21" i="1" s="1"/>
  <c r="N21" i="1" s="1"/>
  <c r="Y20" i="1"/>
  <c r="W20" i="1"/>
  <c r="U20" i="1"/>
  <c r="S20" i="1"/>
  <c r="R20" i="1"/>
  <c r="Q20" i="1"/>
  <c r="P20" i="1"/>
  <c r="O20" i="1"/>
  <c r="N20" i="1" s="1"/>
  <c r="M20" i="1"/>
  <c r="L20" i="1"/>
  <c r="K20" i="1"/>
  <c r="J20" i="1"/>
  <c r="H20" i="1"/>
  <c r="I20" i="1" s="1"/>
  <c r="T20" i="1" s="1"/>
  <c r="F20" i="1"/>
  <c r="Y19" i="1"/>
  <c r="W19" i="1"/>
  <c r="U19" i="1"/>
  <c r="T19" i="1"/>
  <c r="S19" i="1"/>
  <c r="R19" i="1" s="1"/>
  <c r="Q19" i="1"/>
  <c r="O19" i="1"/>
  <c r="N19" i="1" s="1"/>
  <c r="M19" i="1"/>
  <c r="L19" i="1"/>
  <c r="K19" i="1"/>
  <c r="J19" i="1"/>
  <c r="F19" i="1"/>
  <c r="I19" i="1" s="1"/>
  <c r="Y18" i="1"/>
  <c r="W18" i="1"/>
  <c r="U18" i="1"/>
  <c r="T18" i="1"/>
  <c r="S18" i="1"/>
  <c r="R18" i="1" s="1"/>
  <c r="Q18" i="1"/>
  <c r="P18" i="1"/>
  <c r="O18" i="1"/>
  <c r="M18" i="1"/>
  <c r="L18" i="1"/>
  <c r="K18" i="1"/>
  <c r="F18" i="1"/>
  <c r="I18" i="1" s="1"/>
  <c r="Y17" i="1"/>
  <c r="W17" i="1"/>
  <c r="U17" i="1"/>
  <c r="T17" i="1"/>
  <c r="S17" i="1"/>
  <c r="R17" i="1"/>
  <c r="Q17" i="1"/>
  <c r="P17" i="1"/>
  <c r="O17" i="1"/>
  <c r="N17" i="1" s="1"/>
  <c r="M17" i="1"/>
  <c r="L17" i="1"/>
  <c r="K17" i="1"/>
  <c r="F17" i="1"/>
  <c r="I17" i="1" s="1"/>
  <c r="J17" i="1" s="1"/>
  <c r="Y16" i="1"/>
  <c r="W16" i="1"/>
  <c r="U16" i="1"/>
  <c r="T16" i="1"/>
  <c r="S16" i="1"/>
  <c r="R16" i="1" s="1"/>
  <c r="Q16" i="1"/>
  <c r="P16" i="1"/>
  <c r="O16" i="1"/>
  <c r="M16" i="1"/>
  <c r="L16" i="1"/>
  <c r="K16" i="1"/>
  <c r="J16" i="1"/>
  <c r="F16" i="1"/>
  <c r="I16" i="1" s="1"/>
  <c r="Y15" i="1"/>
  <c r="W15" i="1"/>
  <c r="U15" i="1"/>
  <c r="T15" i="1"/>
  <c r="S15" i="1"/>
  <c r="Q15" i="1"/>
  <c r="P15" i="1"/>
  <c r="O15" i="1"/>
  <c r="N15" i="1" s="1"/>
  <c r="M15" i="1"/>
  <c r="K15" i="1"/>
  <c r="J15" i="1" s="1"/>
  <c r="F15" i="1"/>
  <c r="I15" i="1" s="1"/>
  <c r="Y14" i="1"/>
  <c r="W14" i="1"/>
  <c r="U14" i="1"/>
  <c r="T14" i="1"/>
  <c r="S14" i="1"/>
  <c r="R14" i="1" s="1"/>
  <c r="Q14" i="1"/>
  <c r="P14" i="1"/>
  <c r="O14" i="1"/>
  <c r="N14" i="1"/>
  <c r="M14" i="1"/>
  <c r="L14" i="1"/>
  <c r="K14" i="1"/>
  <c r="J14" i="1"/>
  <c r="I14" i="1"/>
  <c r="F14" i="1"/>
  <c r="Y13" i="1"/>
  <c r="W13" i="1"/>
  <c r="U13" i="1"/>
  <c r="T13" i="1"/>
  <c r="S13" i="1"/>
  <c r="Q13" i="1"/>
  <c r="P13" i="1"/>
  <c r="O13" i="1"/>
  <c r="N13" i="1" s="1"/>
  <c r="M13" i="1"/>
  <c r="L13" i="1"/>
  <c r="K13" i="1"/>
  <c r="J13" i="1"/>
  <c r="I13" i="1"/>
  <c r="R13" i="1" s="1"/>
  <c r="F13" i="1"/>
  <c r="Y12" i="1"/>
  <c r="W12" i="1"/>
  <c r="U12" i="1"/>
  <c r="S12" i="1"/>
  <c r="R12" i="1" s="1"/>
  <c r="Q12" i="1"/>
  <c r="O12" i="1"/>
  <c r="N12" i="1"/>
  <c r="M12" i="1"/>
  <c r="L12" i="1"/>
  <c r="K12" i="1"/>
  <c r="J12" i="1"/>
  <c r="F12" i="1"/>
  <c r="I12" i="1" s="1"/>
  <c r="Y11" i="1"/>
  <c r="W11" i="1"/>
  <c r="U11" i="1"/>
  <c r="T11" i="1"/>
  <c r="S11" i="1"/>
  <c r="Q11" i="1"/>
  <c r="O11" i="1"/>
  <c r="N11" i="1" s="1"/>
  <c r="M11" i="1"/>
  <c r="L11" i="1"/>
  <c r="K11" i="1"/>
  <c r="J11" i="1"/>
  <c r="F11" i="1"/>
  <c r="I11" i="1" s="1"/>
  <c r="Y10" i="1"/>
  <c r="W10" i="1"/>
  <c r="U10" i="1"/>
  <c r="T10" i="1"/>
  <c r="S10" i="1"/>
  <c r="R10" i="1" s="1"/>
  <c r="Q10" i="1"/>
  <c r="P10" i="1"/>
  <c r="O10" i="1"/>
  <c r="N10" i="1"/>
  <c r="M10" i="1"/>
  <c r="L10" i="1"/>
  <c r="K10" i="1"/>
  <c r="J10" i="1" s="1"/>
  <c r="F10" i="1"/>
  <c r="I10" i="1" s="1"/>
  <c r="Y9" i="1"/>
  <c r="W9" i="1"/>
  <c r="U9" i="1"/>
  <c r="S9" i="1"/>
  <c r="Q9" i="1"/>
  <c r="P9" i="1"/>
  <c r="O9" i="1"/>
  <c r="M9" i="1"/>
  <c r="L9" i="1"/>
  <c r="K9" i="1"/>
  <c r="J9" i="1"/>
  <c r="F9" i="1"/>
  <c r="I9" i="1" s="1"/>
  <c r="R9" i="1" s="1"/>
  <c r="Y8" i="1"/>
  <c r="W8" i="1"/>
  <c r="U8" i="1"/>
  <c r="T8" i="1" s="1"/>
  <c r="S8" i="1"/>
  <c r="R8" i="1" s="1"/>
  <c r="Q8" i="1"/>
  <c r="O8" i="1"/>
  <c r="N8" i="1"/>
  <c r="M8" i="1"/>
  <c r="L8" i="1"/>
  <c r="K8" i="1"/>
  <c r="J8" i="1"/>
  <c r="F8" i="1"/>
  <c r="I8" i="1" s="1"/>
  <c r="P8" i="1" s="1"/>
  <c r="Y7" i="1"/>
  <c r="W7" i="1"/>
  <c r="U7" i="1"/>
  <c r="T7" i="1"/>
  <c r="S7" i="1"/>
  <c r="Q7" i="1"/>
  <c r="O7" i="1"/>
  <c r="N7" i="1" s="1"/>
  <c r="M7" i="1"/>
  <c r="L7" i="1"/>
  <c r="K7" i="1"/>
  <c r="F7" i="1"/>
  <c r="I7" i="1" s="1"/>
  <c r="Y6" i="1"/>
  <c r="W6" i="1"/>
  <c r="U6" i="1"/>
  <c r="T6" i="1"/>
  <c r="S6" i="1"/>
  <c r="R6" i="1" s="1"/>
  <c r="Q6" i="1"/>
  <c r="O6" i="1"/>
  <c r="N6" i="1"/>
  <c r="M6" i="1"/>
  <c r="L6" i="1"/>
  <c r="K6" i="1"/>
  <c r="J6" i="1"/>
  <c r="F6" i="1"/>
  <c r="I6" i="1" s="1"/>
  <c r="P6" i="1" s="1"/>
  <c r="Y5" i="1"/>
  <c r="W5" i="1"/>
  <c r="U5" i="1"/>
  <c r="S5" i="1"/>
  <c r="Q5" i="1"/>
  <c r="P5" i="1" s="1"/>
  <c r="O5" i="1"/>
  <c r="M5" i="1"/>
  <c r="K5" i="1"/>
  <c r="F5" i="1"/>
  <c r="I5" i="1" s="1"/>
  <c r="Y4" i="1"/>
  <c r="W4" i="1"/>
  <c r="U4" i="1"/>
  <c r="S4" i="1"/>
  <c r="Q4" i="1"/>
  <c r="O4" i="1"/>
  <c r="M4" i="1"/>
  <c r="K4" i="1"/>
  <c r="F4" i="1"/>
  <c r="P56" i="1" l="1"/>
  <c r="N56" i="1"/>
  <c r="P149" i="1"/>
  <c r="R149" i="1"/>
  <c r="R59" i="1"/>
  <c r="P59" i="1"/>
  <c r="T35" i="2"/>
  <c r="N35" i="2"/>
  <c r="P58" i="2"/>
  <c r="R58" i="2"/>
  <c r="P42" i="1"/>
  <c r="T42" i="1"/>
  <c r="N42" i="1"/>
  <c r="L15" i="1"/>
  <c r="R15" i="1"/>
  <c r="P150" i="2"/>
  <c r="R150" i="2"/>
  <c r="N35" i="1"/>
  <c r="T35" i="1"/>
  <c r="L109" i="1"/>
  <c r="R182" i="1"/>
  <c r="P182" i="1"/>
  <c r="P196" i="1"/>
  <c r="N196" i="1"/>
  <c r="P67" i="2"/>
  <c r="J67" i="2"/>
  <c r="R227" i="1"/>
  <c r="J227" i="1"/>
  <c r="T104" i="1"/>
  <c r="P98" i="2"/>
  <c r="J98" i="2"/>
  <c r="N98" i="2"/>
  <c r="R98" i="2"/>
  <c r="J101" i="2"/>
  <c r="T101" i="2"/>
  <c r="R101" i="2"/>
  <c r="P101" i="2"/>
  <c r="N101" i="2"/>
  <c r="R180" i="1"/>
  <c r="L180" i="1"/>
  <c r="P135" i="1"/>
  <c r="T135" i="1"/>
  <c r="J7" i="2"/>
  <c r="R7" i="2"/>
  <c r="P46" i="1"/>
  <c r="R46" i="1"/>
  <c r="T147" i="1"/>
  <c r="P147" i="1"/>
  <c r="L147" i="1"/>
  <c r="J147" i="1"/>
  <c r="R115" i="1"/>
  <c r="J115" i="1"/>
  <c r="R81" i="2"/>
  <c r="J81" i="2"/>
  <c r="P81" i="2"/>
  <c r="R161" i="2"/>
  <c r="L161" i="2"/>
  <c r="N100" i="1"/>
  <c r="R100" i="1"/>
  <c r="R107" i="2"/>
  <c r="N107" i="2"/>
  <c r="J107" i="2"/>
  <c r="R139" i="2"/>
  <c r="P139" i="2"/>
  <c r="P72" i="1"/>
  <c r="J72" i="1"/>
  <c r="T85" i="1"/>
  <c r="N85" i="1"/>
  <c r="P85" i="1"/>
  <c r="J85" i="1"/>
  <c r="P56" i="2"/>
  <c r="N56" i="2"/>
  <c r="J212" i="1"/>
  <c r="R74" i="2"/>
  <c r="N74" i="2"/>
  <c r="V157" i="1"/>
  <c r="N157" i="1"/>
  <c r="R157" i="1"/>
  <c r="L157" i="1"/>
  <c r="P7" i="1"/>
  <c r="J7" i="1"/>
  <c r="R11" i="1"/>
  <c r="P11" i="1"/>
  <c r="P51" i="2"/>
  <c r="N51" i="2"/>
  <c r="V128" i="2"/>
  <c r="L128" i="2"/>
  <c r="P30" i="2"/>
  <c r="J30" i="2"/>
  <c r="N30" i="2"/>
  <c r="L30" i="2"/>
  <c r="L159" i="1"/>
  <c r="L57" i="1"/>
  <c r="N57" i="1"/>
  <c r="R57" i="1"/>
  <c r="P57" i="1"/>
  <c r="J57" i="1"/>
  <c r="J113" i="1"/>
  <c r="N113" i="1"/>
  <c r="T101" i="1"/>
  <c r="N101" i="1"/>
  <c r="J101" i="1"/>
  <c r="L101" i="1"/>
  <c r="P46" i="2"/>
  <c r="R46" i="2"/>
  <c r="L100" i="1"/>
  <c r="P32" i="2"/>
  <c r="T32" i="2"/>
  <c r="N51" i="1"/>
  <c r="P100" i="1"/>
  <c r="J193" i="1"/>
  <c r="J18" i="1"/>
  <c r="N18" i="1"/>
  <c r="P30" i="1"/>
  <c r="T30" i="1"/>
  <c r="L30" i="1"/>
  <c r="J30" i="1"/>
  <c r="R30" i="1"/>
  <c r="N30" i="1"/>
  <c r="P174" i="1"/>
  <c r="N220" i="1"/>
  <c r="P27" i="2"/>
  <c r="J27" i="2"/>
  <c r="P29" i="2"/>
  <c r="L25" i="1"/>
  <c r="N25" i="1"/>
  <c r="J25" i="1"/>
  <c r="P64" i="1"/>
  <c r="J64" i="1"/>
  <c r="N98" i="1"/>
  <c r="R98" i="1"/>
  <c r="T98" i="1"/>
  <c r="L112" i="1"/>
  <c r="X154" i="1"/>
  <c r="R154" i="1"/>
  <c r="P154" i="1"/>
  <c r="L15" i="2"/>
  <c r="T98" i="2"/>
  <c r="J98" i="1"/>
  <c r="R149" i="2"/>
  <c r="P149" i="2"/>
  <c r="N149" i="2"/>
  <c r="P158" i="2"/>
  <c r="P83" i="1"/>
  <c r="J198" i="1"/>
  <c r="L96" i="2"/>
  <c r="J126" i="2"/>
  <c r="L98" i="1"/>
  <c r="P119" i="1"/>
  <c r="L161" i="1"/>
  <c r="L214" i="1"/>
  <c r="P79" i="2"/>
  <c r="R79" i="2"/>
  <c r="P25" i="1"/>
  <c r="R93" i="1"/>
  <c r="R189" i="1"/>
  <c r="L189" i="1"/>
  <c r="N96" i="1"/>
  <c r="T57" i="1"/>
  <c r="T57" i="2"/>
  <c r="N57" i="2"/>
  <c r="J57" i="2"/>
  <c r="P221" i="1"/>
  <c r="L221" i="1"/>
  <c r="P101" i="1"/>
  <c r="J122" i="1"/>
  <c r="N16" i="1"/>
  <c r="R148" i="1"/>
  <c r="P148" i="1"/>
  <c r="R57" i="2"/>
  <c r="P72" i="2"/>
  <c r="J72" i="2"/>
  <c r="P42" i="2"/>
  <c r="T42" i="2"/>
  <c r="N42" i="2"/>
  <c r="L133" i="2"/>
  <c r="T30" i="2"/>
  <c r="P50" i="2"/>
  <c r="J50" i="2"/>
  <c r="R50" i="2"/>
  <c r="R47" i="1"/>
  <c r="P50" i="1"/>
  <c r="J50" i="1"/>
  <c r="P133" i="1"/>
  <c r="T133" i="1"/>
  <c r="P137" i="1"/>
  <c r="J155" i="1"/>
  <c r="J75" i="2"/>
  <c r="L176" i="2"/>
  <c r="J176" i="2"/>
  <c r="T52" i="1"/>
  <c r="J133" i="1"/>
  <c r="R196" i="1"/>
  <c r="N112" i="2"/>
  <c r="J150" i="2"/>
  <c r="T12" i="1"/>
  <c r="P12" i="1"/>
  <c r="P58" i="1"/>
  <c r="R58" i="1"/>
  <c r="P100" i="2"/>
  <c r="R100" i="2"/>
  <c r="N100" i="2"/>
  <c r="P19" i="1"/>
  <c r="J75" i="1"/>
  <c r="R187" i="1"/>
  <c r="P70" i="2"/>
  <c r="R70" i="2"/>
  <c r="R157" i="2"/>
  <c r="L157" i="2"/>
  <c r="V157" i="2"/>
  <c r="T37" i="1"/>
  <c r="L137" i="1"/>
  <c r="N137" i="1"/>
  <c r="R155" i="1"/>
  <c r="X155" i="1"/>
  <c r="P155" i="1"/>
  <c r="V155" i="1"/>
  <c r="L117" i="2"/>
  <c r="L112" i="2"/>
  <c r="T9" i="1"/>
  <c r="N155" i="1"/>
  <c r="T9" i="2"/>
  <c r="R9" i="2"/>
  <c r="T85" i="2"/>
  <c r="R85" i="2"/>
  <c r="V122" i="1"/>
  <c r="T122" i="1"/>
  <c r="R90" i="2"/>
  <c r="J90" i="2"/>
  <c r="R148" i="2"/>
  <c r="P148" i="2"/>
  <c r="N48" i="2"/>
  <c r="J48" i="2"/>
  <c r="T26" i="1"/>
  <c r="J116" i="1"/>
  <c r="R176" i="1"/>
  <c r="L176" i="1"/>
  <c r="R7" i="1"/>
  <c r="L107" i="1"/>
  <c r="L116" i="1"/>
  <c r="R151" i="1"/>
  <c r="T151" i="1"/>
  <c r="J73" i="2"/>
  <c r="R73" i="2"/>
  <c r="N73" i="2"/>
  <c r="P110" i="2"/>
  <c r="T157" i="1"/>
  <c r="J107" i="1"/>
  <c r="N169" i="1"/>
  <c r="X169" i="1"/>
  <c r="L169" i="1"/>
  <c r="P189" i="2"/>
  <c r="L189" i="2"/>
  <c r="L5" i="1"/>
  <c r="T5" i="1"/>
  <c r="J5" i="1"/>
  <c r="R5" i="1"/>
  <c r="R39" i="1"/>
  <c r="P39" i="1"/>
  <c r="P120" i="2"/>
  <c r="R177" i="2"/>
  <c r="N177" i="2"/>
  <c r="P133" i="2"/>
  <c r="J177" i="1"/>
  <c r="L190" i="1"/>
  <c r="L147" i="2"/>
  <c r="V136" i="1"/>
  <c r="R177" i="1"/>
  <c r="P194" i="1"/>
  <c r="P211" i="1"/>
  <c r="P57" i="2"/>
  <c r="T149" i="2"/>
  <c r="L217" i="1"/>
  <c r="X223" i="1"/>
  <c r="T47" i="2"/>
  <c r="L100" i="2"/>
  <c r="P45" i="2"/>
  <c r="L107" i="2"/>
  <c r="N158" i="1"/>
  <c r="L194" i="1"/>
  <c r="J224" i="1"/>
  <c r="J64" i="2"/>
  <c r="T133" i="2"/>
  <c r="P158" i="1"/>
  <c r="L211" i="1"/>
  <c r="L224" i="1"/>
  <c r="L57" i="2"/>
  <c r="N140" i="2"/>
  <c r="J147" i="2"/>
  <c r="V128" i="1"/>
  <c r="V183" i="1"/>
  <c r="P19" i="2"/>
  <c r="J181" i="2"/>
  <c r="L190" i="2"/>
  <c r="T14" i="2"/>
  <c r="L98" i="2"/>
  <c r="X152" i="1"/>
  <c r="N188" i="1"/>
  <c r="P138" i="2"/>
  <c r="P147" i="2"/>
  <c r="L85" i="1"/>
  <c r="J113" i="2"/>
  <c r="R111" i="1"/>
  <c r="P225" i="1"/>
  <c r="R74" i="1"/>
  <c r="P83" i="2"/>
  <c r="P70" i="1"/>
  <c r="T149" i="1"/>
  <c r="T155" i="1"/>
  <c r="V227" i="1"/>
  <c r="L137" i="2"/>
  <c r="N5" i="1"/>
  <c r="N189" i="1"/>
  <c r="N124" i="2"/>
  <c r="L159" i="2"/>
  <c r="N168" i="2"/>
  <c r="R85" i="1"/>
  <c r="J174" i="1"/>
  <c r="L79" i="2"/>
  <c r="L104" i="2"/>
  <c r="P168" i="2"/>
  <c r="X218" i="1"/>
  <c r="J221" i="1"/>
  <c r="P155" i="2"/>
  <c r="R155" i="2"/>
  <c r="N155" i="2"/>
  <c r="T78" i="1"/>
  <c r="R119" i="2"/>
  <c r="T122" i="2"/>
  <c r="V122" i="2"/>
  <c r="P103" i="1"/>
  <c r="J164" i="1"/>
  <c r="R195" i="1"/>
  <c r="J202" i="1"/>
  <c r="P6" i="2"/>
  <c r="J25" i="2"/>
  <c r="J86" i="2"/>
  <c r="R124" i="2"/>
  <c r="P137" i="2"/>
  <c r="J155" i="2"/>
  <c r="N149" i="1"/>
  <c r="N9" i="1"/>
  <c r="P8" i="2"/>
  <c r="J18" i="2"/>
  <c r="P186" i="2"/>
  <c r="R81" i="1"/>
  <c r="L180" i="2"/>
  <c r="N189" i="2"/>
  <c r="L25" i="2"/>
  <c r="R88" i="2"/>
  <c r="T151" i="2"/>
  <c r="R151" i="2"/>
  <c r="P151" i="2"/>
  <c r="R117" i="1"/>
  <c r="R184" i="1"/>
  <c r="J81" i="1"/>
  <c r="T68" i="1"/>
  <c r="N124" i="1"/>
  <c r="R101" i="1"/>
  <c r="N25" i="2"/>
  <c r="J146" i="2"/>
  <c r="L158" i="2"/>
  <c r="N108" i="2"/>
  <c r="R73" i="1"/>
  <c r="R123" i="2"/>
  <c r="R107" i="1"/>
  <c r="P186" i="1"/>
  <c r="P7" i="2"/>
  <c r="N157" i="2"/>
  <c r="P12" i="2"/>
  <c r="V159" i="2"/>
  <c r="R172" i="2"/>
  <c r="P172" i="2"/>
  <c r="R97" i="1"/>
  <c r="L101" i="2"/>
  <c r="T120" i="2"/>
  <c r="P14" i="2"/>
  <c r="R176" i="2"/>
  <c r="J176" i="1"/>
  <c r="R207" i="1"/>
  <c r="P5" i="2"/>
  <c r="P174" i="2"/>
  <c r="P134" i="2"/>
  <c r="P11" i="2"/>
  <c r="N142" i="2"/>
</calcChain>
</file>

<file path=xl/sharedStrings.xml><?xml version="1.0" encoding="utf-8"?>
<sst xmlns="http://schemas.openxmlformats.org/spreadsheetml/2006/main" count="839" uniqueCount="248">
  <si>
    <t>CONTROL DE RENTABILIDAD DE PANTALLAS 2026</t>
  </si>
  <si>
    <t>N° OP</t>
  </si>
  <si>
    <t>MARCA</t>
  </si>
  <si>
    <t>CAMPAÑA</t>
  </si>
  <si>
    <t>INCIO</t>
  </si>
  <si>
    <t>FINAL</t>
  </si>
  <si>
    <t>TOTAL DIAS</t>
  </si>
  <si>
    <t>FREC.
TOTAL</t>
  </si>
  <si>
    <t>PRECIO 
TOTAL</t>
  </si>
  <si>
    <t xml:space="preserve">VALOR 
PROM. </t>
  </si>
  <si>
    <t>PANTALLAS</t>
  </si>
  <si>
    <t>PROCE</t>
  </si>
  <si>
    <t>PASEO</t>
  </si>
  <si>
    <t>PANAM</t>
  </si>
  <si>
    <t>SDM</t>
  </si>
  <si>
    <t>HEROE</t>
  </si>
  <si>
    <t>BENITO</t>
  </si>
  <si>
    <t>JERUSA</t>
  </si>
  <si>
    <t>JPABLO</t>
  </si>
  <si>
    <t>CLARO</t>
  </si>
  <si>
    <t>varias</t>
  </si>
  <si>
    <t>PRESIDENCIA</t>
  </si>
  <si>
    <t>shakira</t>
  </si>
  <si>
    <t>POLLO CAMPERO</t>
  </si>
  <si>
    <t>promociones</t>
  </si>
  <si>
    <t>TOLEDO</t>
  </si>
  <si>
    <t>la vida es deliciosa</t>
  </si>
  <si>
    <t>MC CORMICK</t>
  </si>
  <si>
    <t>aderezos</t>
  </si>
  <si>
    <t>NATURAS</t>
  </si>
  <si>
    <t>friito</t>
  </si>
  <si>
    <t>GRIIMFLEX</t>
  </si>
  <si>
    <t>surfer</t>
  </si>
  <si>
    <t>VIROGRIP</t>
  </si>
  <si>
    <t>felpa</t>
  </si>
  <si>
    <t>HOSPITAL CE</t>
  </si>
  <si>
    <t>campaña QR</t>
  </si>
  <si>
    <t>TIGO</t>
  </si>
  <si>
    <t>retail 5 feb</t>
  </si>
  <si>
    <t>DUICENTRO</t>
  </si>
  <si>
    <t>campaña dui</t>
  </si>
  <si>
    <t>retail 11 feb</t>
  </si>
  <si>
    <t>MICHELOB</t>
  </si>
  <si>
    <t>generica</t>
  </si>
  <si>
    <t>back to school (mundial)</t>
  </si>
  <si>
    <t>retail 15 al 18</t>
  </si>
  <si>
    <t>PIZZA HUT</t>
  </si>
  <si>
    <t>AGRICOLA ANUAL</t>
  </si>
  <si>
    <t>anual</t>
  </si>
  <si>
    <t>SIMAN ANUAL</t>
  </si>
  <si>
    <t>CAMPESTRE ANUAL</t>
  </si>
  <si>
    <t>MAZOLA</t>
  </si>
  <si>
    <t>campaña generica</t>
  </si>
  <si>
    <t>KENTUCKY</t>
  </si>
  <si>
    <t>CONECTA</t>
  </si>
  <si>
    <t>mujeres emblematicas</t>
  </si>
  <si>
    <t>WALMART</t>
  </si>
  <si>
    <t>varios</t>
  </si>
  <si>
    <t>DESPENSA DJ</t>
  </si>
  <si>
    <t>LIFEMILES</t>
  </si>
  <si>
    <t>50% bonos</t>
  </si>
  <si>
    <t>DONKEY</t>
  </si>
  <si>
    <t>ALCALDIA S.S.</t>
  </si>
  <si>
    <t>bodas colectivas</t>
  </si>
  <si>
    <t>condimentos 3d</t>
  </si>
  <si>
    <t>CAMPERO</t>
  </si>
  <si>
    <t>LA GRAN VIA</t>
  </si>
  <si>
    <t>mood verano</t>
  </si>
  <si>
    <t>FAUVE</t>
  </si>
  <si>
    <t>retail</t>
  </si>
  <si>
    <t>EPA</t>
  </si>
  <si>
    <t>retail epa</t>
  </si>
  <si>
    <t>GRIINFLEX</t>
  </si>
  <si>
    <t>siempre en movimiento</t>
  </si>
  <si>
    <t>OFFICE DEPOT</t>
  </si>
  <si>
    <t>noche de compra</t>
  </si>
  <si>
    <t>SHERWIN WILLIAMS</t>
  </si>
  <si>
    <t>VOLARIS</t>
  </si>
  <si>
    <t>marzo viajero</t>
  </si>
  <si>
    <t>mundial</t>
  </si>
  <si>
    <t>OMNISPORT</t>
  </si>
  <si>
    <t>Toshiba</t>
  </si>
  <si>
    <t>TIN MARIN</t>
  </si>
  <si>
    <t>la granjita</t>
  </si>
  <si>
    <t>ST JACKS</t>
  </si>
  <si>
    <t>verano</t>
  </si>
  <si>
    <t>CONFIA</t>
  </si>
  <si>
    <t>Pre Campaña</t>
  </si>
  <si>
    <t xml:space="preserve">MD </t>
  </si>
  <si>
    <t>VERANO</t>
  </si>
  <si>
    <t>MICHELOB ULTRA</t>
  </si>
  <si>
    <t>CORONA</t>
  </si>
  <si>
    <t>RETAIL POSPAGO</t>
  </si>
  <si>
    <t>COAGRO</t>
  </si>
  <si>
    <t>BRAVECTO</t>
  </si>
  <si>
    <t>FEDECREDITO</t>
  </si>
  <si>
    <t>deposito digital</t>
  </si>
  <si>
    <t>Alfombra CH</t>
  </si>
  <si>
    <t>G AIR</t>
  </si>
  <si>
    <t>ISSS</t>
  </si>
  <si>
    <t>Vacaciones</t>
  </si>
  <si>
    <t>AUTOMAX</t>
  </si>
  <si>
    <t>Destinator</t>
  </si>
  <si>
    <t>FONAT</t>
  </si>
  <si>
    <t>CAMPESTRE</t>
  </si>
  <si>
    <t>HACIENDA</t>
  </si>
  <si>
    <t>ASI</t>
  </si>
  <si>
    <t>CEPA</t>
  </si>
  <si>
    <t>WALLMART</t>
  </si>
  <si>
    <t>rebajas</t>
  </si>
  <si>
    <t>DELTA PROPIERTIES</t>
  </si>
  <si>
    <t>UNO</t>
  </si>
  <si>
    <t>SUNSET DEVELOPMENTS</t>
  </si>
  <si>
    <t>SOLARIS</t>
  </si>
  <si>
    <t>VENZA FRESCURA EXTREMA</t>
  </si>
  <si>
    <t>Frecura extrema</t>
  </si>
  <si>
    <t>VITOGUARATO</t>
  </si>
  <si>
    <t xml:space="preserve">pequeño aporte gran </t>
  </si>
  <si>
    <t>APEX</t>
  </si>
  <si>
    <t>festival esperanza</t>
  </si>
  <si>
    <t>VIDRI</t>
  </si>
  <si>
    <t>SIKA</t>
  </si>
  <si>
    <t>Hisense</t>
  </si>
  <si>
    <t>CONFIA M</t>
  </si>
  <si>
    <t>paga tus impuestos</t>
  </si>
  <si>
    <t>LA DESPENSA DE DJ</t>
  </si>
  <si>
    <t>GRIIN FLEX</t>
  </si>
  <si>
    <t xml:space="preserve">TIGO </t>
  </si>
  <si>
    <t>back to school</t>
  </si>
  <si>
    <t>Tigo institucional</t>
  </si>
  <si>
    <t>Burrito rebelde</t>
  </si>
  <si>
    <t>buen salvadoreño</t>
  </si>
  <si>
    <t>NEQUI</t>
  </si>
  <si>
    <t>C.C GALERIAS</t>
  </si>
  <si>
    <t>Rosario de Hombres</t>
  </si>
  <si>
    <t>EXCEL</t>
  </si>
  <si>
    <t>omnimark</t>
  </si>
  <si>
    <t>BANCO CUSCATLAN</t>
  </si>
  <si>
    <t>DUI CENTRO</t>
  </si>
  <si>
    <t>hombre y mujer</t>
  </si>
  <si>
    <t>SIMAN</t>
  </si>
  <si>
    <t>VENZA</t>
  </si>
  <si>
    <t>TIGO RETAIL</t>
  </si>
  <si>
    <t>mama</t>
  </si>
  <si>
    <t>CUSCATLAN TIGO</t>
  </si>
  <si>
    <t>tarjeta</t>
  </si>
  <si>
    <t>vn / token</t>
  </si>
  <si>
    <t>NESTLE</t>
  </si>
  <si>
    <t>maggi</t>
  </si>
  <si>
    <t>bajada movil</t>
  </si>
  <si>
    <t>COOP</t>
  </si>
  <si>
    <t>Credito y Ahorro</t>
  </si>
  <si>
    <t>Hot Tickets</t>
  </si>
  <si>
    <t>Blue Week futbolera</t>
  </si>
  <si>
    <t>H&amp;M</t>
  </si>
  <si>
    <t>CUSCATLAN</t>
  </si>
  <si>
    <t>toy story</t>
  </si>
  <si>
    <t>junio</t>
  </si>
  <si>
    <t>DESPENSA DE DON JUAN</t>
  </si>
  <si>
    <t>CURACAO</t>
  </si>
  <si>
    <t>NIU+</t>
  </si>
  <si>
    <t>OP FUSALMO</t>
  </si>
  <si>
    <t>DONACION</t>
  </si>
  <si>
    <t>KFC</t>
  </si>
  <si>
    <t>POLLO INDIO</t>
  </si>
  <si>
    <t>Resultado partidos</t>
  </si>
  <si>
    <t>generico</t>
  </si>
  <si>
    <t>PLAZA MUNDO</t>
  </si>
  <si>
    <t>quiniela</t>
  </si>
  <si>
    <t>MISTER DONUT</t>
  </si>
  <si>
    <t>CERVECERIA</t>
  </si>
  <si>
    <t>COMFORT STAR</t>
  </si>
  <si>
    <t>futbol</t>
  </si>
  <si>
    <t>SAN BENITO BONO</t>
  </si>
  <si>
    <t>campaña cumpliendo</t>
  </si>
  <si>
    <t>MAX BLOCH</t>
  </si>
  <si>
    <t>dos versiones</t>
  </si>
  <si>
    <t>LIVING</t>
  </si>
  <si>
    <t>uno</t>
  </si>
  <si>
    <t>AVICOLA</t>
  </si>
  <si>
    <t>scores</t>
  </si>
  <si>
    <t xml:space="preserve">MC DONALS </t>
  </si>
  <si>
    <t>3d mundial</t>
  </si>
  <si>
    <t>minuto 30</t>
  </si>
  <si>
    <t>BONIFICADA JERUSALEN</t>
  </si>
  <si>
    <t>POLLO CAMPESTRE</t>
  </si>
  <si>
    <t>bonificacion</t>
  </si>
  <si>
    <t>BONIFICACION</t>
  </si>
  <si>
    <t>GRUPO Q</t>
  </si>
  <si>
    <t>GWM HAVAL</t>
  </si>
  <si>
    <t>jpablo bonificado</t>
  </si>
  <si>
    <t>AGENCIA CARMA</t>
  </si>
  <si>
    <t>REGALIA</t>
  </si>
  <si>
    <t>CANJE</t>
  </si>
  <si>
    <t>WENDYS</t>
  </si>
  <si>
    <t>SEDE OFICIAL</t>
  </si>
  <si>
    <t>BANCO INTEGRAL</t>
  </si>
  <si>
    <t>expo mype</t>
  </si>
  <si>
    <t>BONIFICADA SB HEROES</t>
  </si>
  <si>
    <t>LA CURACAO</t>
  </si>
  <si>
    <t>SARITA</t>
  </si>
  <si>
    <t>paletas y copas</t>
  </si>
  <si>
    <t>MINSAL</t>
  </si>
  <si>
    <t>campaña dengue</t>
  </si>
  <si>
    <t>MULTIPREMIOS</t>
  </si>
  <si>
    <t>jabon frescura</t>
  </si>
  <si>
    <t>PUMA SALE</t>
  </si>
  <si>
    <t>FLYING TIGER</t>
  </si>
  <si>
    <t>lanzamiento</t>
  </si>
  <si>
    <t>multipremios</t>
  </si>
  <si>
    <t>30 MIL PREMIOS</t>
  </si>
  <si>
    <t>venta nocturna</t>
  </si>
  <si>
    <t>PEPSI</t>
  </si>
  <si>
    <t>pollo pepsi</t>
  </si>
  <si>
    <t>MOTOS HERO</t>
  </si>
  <si>
    <t>PUMA</t>
  </si>
  <si>
    <t>BONIFICACION SAN BENITO</t>
  </si>
  <si>
    <t>GAIR</t>
  </si>
  <si>
    <t>multipuntos</t>
  </si>
  <si>
    <t>MINSAL 2</t>
  </si>
  <si>
    <t>7 años</t>
  </si>
  <si>
    <t>MACDONALS</t>
  </si>
  <si>
    <t>REXONA</t>
  </si>
  <si>
    <t>PANDA EXPRESS</t>
  </si>
  <si>
    <t>MAC DONALS</t>
  </si>
  <si>
    <t>MAGGI</t>
  </si>
  <si>
    <t>sivarland</t>
  </si>
  <si>
    <t>DACION EN PAGO</t>
  </si>
  <si>
    <t>CIFA</t>
  </si>
  <si>
    <t>prefabricados</t>
  </si>
  <si>
    <t>vacaciones</t>
  </si>
  <si>
    <t>MINEDUCYT</t>
  </si>
  <si>
    <t>renueva tu dui</t>
  </si>
  <si>
    <t>FIESTAS AGOSTINAS</t>
  </si>
  <si>
    <t>GALON GRATIS</t>
  </si>
  <si>
    <t>REPTILANDIA</t>
  </si>
  <si>
    <t>PALM SOLARIS</t>
  </si>
  <si>
    <t>agosto</t>
  </si>
  <si>
    <t>this is living</t>
  </si>
  <si>
    <t>FRIO AIRE</t>
  </si>
  <si>
    <t>PADRE VITO GUARATO</t>
  </si>
  <si>
    <t>concierto</t>
  </si>
  <si>
    <t xml:space="preserve">RADIO SHACK </t>
  </si>
  <si>
    <t>SABA</t>
  </si>
  <si>
    <t>BAMBU</t>
  </si>
  <si>
    <t>campaña institucional</t>
  </si>
  <si>
    <t>0-04</t>
  </si>
  <si>
    <t>Maggy and 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</si>
</sst>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&quot; | &quot;mmm&quot; | &quot;yy"/>
    <numFmt numFmtId="165" formatCode="\$#,##0.00"/>
    <numFmt numFmtId="166" formatCode="dd/mm"/>
  </numFmts>
  <fonts count="6" x14ac:knownFonts="1">
    <font>
      <sz val="10"/>
      <color rgb="FF000000"/>
      <name val="Arial"/>
      <charset val="1"/>
    </font>
    <font>
      <b/>
      <sz val="20"/>
      <color rgb="FF999999"/>
      <name val="Arial"/>
      <charset val="1"/>
    </font>
    <font>
      <sz val="11"/>
      <color rgb="FFF3F3F3"/>
      <name val="Arial"/>
      <charset val="1"/>
    </font>
    <font>
      <sz val="11"/>
      <color theme="1"/>
      <name val="Arial"/>
      <charset val="1"/>
    </font>
    <font>
      <sz val="11"/>
      <color rgb="FFD9D9D9"/>
      <name val="Arial"/>
      <charset val="1"/>
    </font>
    <font>
      <b/>
      <sz val="20"/>
      <color theme="1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FFD966"/>
        <bgColor rgb="FFF9CB9C"/>
      </patternFill>
    </fill>
    <fill>
      <patternFill patternType="solid">
        <fgColor rgb="FF0B5394"/>
        <bgColor rgb="FF003366"/>
      </patternFill>
    </fill>
    <fill>
      <patternFill patternType="solid">
        <fgColor rgb="FFFFFFFF"/>
        <bgColor rgb="FFF3F3F3"/>
      </patternFill>
    </fill>
    <fill>
      <patternFill patternType="solid">
        <fgColor rgb="FFE69138"/>
        <bgColor rgb="FFFF8080"/>
      </patternFill>
    </fill>
    <fill>
      <patternFill patternType="solid">
        <fgColor rgb="FFF9CB9C"/>
        <bgColor rgb="FFFFD966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5" fillId="0" borderId="0" xfId="0" applyFont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left" vertical="center"/>
    </xf>
    <xf numFmtId="165" fontId="3" fillId="0" borderId="6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165" fontId="3" fillId="0" borderId="9" xfId="0" applyNumberFormat="1" applyFont="1" applyBorder="1" applyAlignment="1">
      <alignment horizontal="center" vertical="center"/>
    </xf>
    <xf numFmtId="165" fontId="3" fillId="0" borderId="10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5" fontId="3" fillId="0" borderId="12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164" fontId="3" fillId="0" borderId="13" xfId="0" applyNumberFormat="1" applyFont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65" fontId="3" fillId="0" borderId="7" xfId="0" applyNumberFormat="1" applyFont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/>
    </xf>
    <xf numFmtId="0" fontId="3" fillId="4" borderId="3" xfId="0" applyFont="1" applyFill="1" applyBorder="1" applyAlignment="1">
      <alignment horizontal="left" vertical="center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3" fillId="0" borderId="1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4" xfId="0" applyFont="1" applyBorder="1" applyAlignment="1">
      <alignment horizontal="center"/>
    </xf>
    <xf numFmtId="164" fontId="3" fillId="0" borderId="14" xfId="0" applyNumberFormat="1" applyFont="1" applyBorder="1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164" fontId="3" fillId="0" borderId="13" xfId="0" applyNumberFormat="1" applyFont="1" applyBorder="1" applyAlignment="1">
      <alignment horizontal="center"/>
    </xf>
    <xf numFmtId="165" fontId="3" fillId="0" borderId="16" xfId="0" applyNumberFormat="1" applyFont="1" applyBorder="1" applyAlignment="1">
      <alignment horizontal="center" vertical="center"/>
    </xf>
    <xf numFmtId="165" fontId="3" fillId="0" borderId="17" xfId="0" applyNumberFormat="1" applyFont="1" applyBorder="1" applyAlignment="1">
      <alignment horizontal="center" vertical="center"/>
    </xf>
    <xf numFmtId="166" fontId="3" fillId="0" borderId="13" xfId="0" applyNumberFormat="1" applyFont="1" applyBorder="1" applyAlignment="1">
      <alignment horizontal="center" vertical="center"/>
    </xf>
    <xf numFmtId="0" fontId="3" fillId="0" borderId="0" xfId="0" applyFont="1"/>
    <xf numFmtId="0" fontId="4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165" fontId="3" fillId="0" borderId="18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5" fontId="3" fillId="0" borderId="21" xfId="0" applyNumberFormat="1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165" fontId="3" fillId="0" borderId="19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center" vertical="center"/>
    </xf>
    <xf numFmtId="0" fontId="3" fillId="0" borderId="5" xfId="0" applyFont="1" applyBorder="1"/>
    <xf numFmtId="0" fontId="3" fillId="0" borderId="5" xfId="0" applyFont="1" applyBorder="1" applyAlignment="1">
      <alignment horizontal="left"/>
    </xf>
    <xf numFmtId="165" fontId="3" fillId="0" borderId="17" xfId="0" applyNumberFormat="1" applyFont="1" applyBorder="1"/>
    <xf numFmtId="165" fontId="3" fillId="6" borderId="7" xfId="0" applyNumberFormat="1" applyFont="1" applyFill="1" applyBorder="1"/>
    <xf numFmtId="0" fontId="3" fillId="0" borderId="8" xfId="0" applyFont="1" applyBorder="1" applyAlignment="1">
      <alignment horizontal="center"/>
    </xf>
    <xf numFmtId="0" fontId="3" fillId="6" borderId="0" xfId="0" applyFont="1" applyFill="1"/>
    <xf numFmtId="0" fontId="3" fillId="0" borderId="0" xfId="0" applyFont="1" applyAlignment="1">
      <alignment horizontal="center"/>
    </xf>
    <xf numFmtId="0" fontId="3" fillId="6" borderId="7" xfId="0" applyFont="1" applyFill="1" applyBorder="1"/>
    <xf numFmtId="164" fontId="3" fillId="0" borderId="13" xfId="0" applyNumberFormat="1" applyFont="1" applyBorder="1"/>
    <xf numFmtId="165" fontId="3" fillId="6" borderId="0" xfId="0" applyNumberFormat="1" applyFont="1" applyFill="1"/>
    <xf numFmtId="165" fontId="3" fillId="4" borderId="0" xfId="0" applyNumberFormat="1" applyFont="1" applyFill="1"/>
    <xf numFmtId="165" fontId="3" fillId="4" borderId="7" xfId="0" applyNumberFormat="1" applyFont="1" applyFill="1" applyBorder="1"/>
    <xf numFmtId="0" fontId="3" fillId="4" borderId="8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14" fontId="3" fillId="0" borderId="4" xfId="0" applyNumberFormat="1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14" fontId="3" fillId="0" borderId="4" xfId="0" applyNumberFormat="1" applyFont="1" applyBorder="1" applyAlignment="1">
      <alignment horizontal="center"/>
    </xf>
    <xf numFmtId="14" fontId="3" fillId="0" borderId="14" xfId="0" applyNumberFormat="1" applyFont="1" applyBorder="1" applyAlignment="1">
      <alignment horizontal="center"/>
    </xf>
    <xf numFmtId="14" fontId="3" fillId="0" borderId="13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 vertical="center"/>
    </xf>
    <xf numFmtId="14" fontId="3" fillId="0" borderId="13" xfId="0" applyNumberFormat="1" applyFont="1" applyBorder="1"/>
    <xf numFmtId="14" fontId="0" fillId="0" borderId="0" xfId="0" applyNumberFormat="1"/>
  </cellXfs>
  <cellStyles count="1">
    <cellStyle name="Normal" xfId="0" builtinId="0"/>
  </cellStyles>
  <dxfs count="2">
    <dxf>
      <fill>
        <patternFill>
          <bgColor rgb="FFF9CB9C"/>
        </patternFill>
      </fill>
    </dxf>
    <dxf>
      <fill>
        <patternFill>
          <bgColor rgb="FFF9CB9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3F3"/>
      <rgbColor rgb="FFCCFFFF"/>
      <rgbColor rgb="FF660066"/>
      <rgbColor rgb="FFFF8080"/>
      <rgbColor rgb="FF0B539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6"/>
      <rgbColor rgb="FF99CCFF"/>
      <rgbColor rgb="FFFF99CC"/>
      <rgbColor rgb="FFCC99FF"/>
      <rgbColor rgb="FFF9CB9C"/>
      <rgbColor rgb="FF3366FF"/>
      <rgbColor rgb="FF33CCCC"/>
      <rgbColor rgb="FF99CC00"/>
      <rgbColor rgb="FFFFCC00"/>
      <rgbColor rgb="FFE69138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98"/>
  <sheetViews>
    <sheetView tabSelected="1" zoomScaleNormal="100" workbookViewId="0">
      <pane ySplit="3" topLeftCell="A160" activePane="bottomLeft" state="frozen"/>
      <selection pane="bottomLeft" activeCell="C231" sqref="C231"/>
    </sheetView>
  </sheetViews>
  <sheetFormatPr baseColWidth="10" defaultColWidth="12.6328125" defaultRowHeight="12.5" x14ac:dyDescent="0.25"/>
  <cols>
    <col min="1" max="1" width="5.7265625" customWidth="1"/>
    <col min="2" max="2" width="27.26953125" customWidth="1"/>
    <col min="3" max="3" width="19" customWidth="1"/>
    <col min="4" max="4" width="10.26953125" customWidth="1"/>
    <col min="5" max="6" width="10.6328125" customWidth="1"/>
    <col min="7" max="7" width="6.26953125" customWidth="1"/>
    <col min="8" max="8" width="7.36328125" customWidth="1"/>
    <col min="9" max="9" width="6.54296875" customWidth="1"/>
    <col min="10" max="10" width="7.08984375" customWidth="1"/>
    <col min="11" max="11" width="3.26953125" customWidth="1"/>
    <col min="12" max="12" width="6.08984375" customWidth="1"/>
    <col min="13" max="13" width="3.453125" customWidth="1"/>
    <col min="14" max="14" width="6.7265625" customWidth="1"/>
    <col min="15" max="15" width="3.453125" customWidth="1"/>
    <col min="16" max="16" width="7.36328125" customWidth="1"/>
    <col min="17" max="17" width="3.453125" customWidth="1"/>
    <col min="18" max="18" width="6.54296875" customWidth="1"/>
    <col min="19" max="19" width="3.453125" customWidth="1"/>
    <col min="20" max="20" width="6.26953125" customWidth="1"/>
    <col min="21" max="21" width="3.453125" customWidth="1"/>
    <col min="22" max="22" width="6.26953125" customWidth="1"/>
    <col min="23" max="23" width="3.453125" customWidth="1"/>
    <col min="24" max="24" width="6.26953125" customWidth="1"/>
    <col min="25" max="25" width="3.453125" customWidth="1"/>
  </cols>
  <sheetData>
    <row r="1" spans="1:25" ht="25" x14ac:dyDescent="0.5">
      <c r="A1" s="9"/>
      <c r="B1" s="8" t="s">
        <v>0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2" spans="1:25" ht="15.75" customHeight="1" x14ac:dyDescent="0.3">
      <c r="A2" s="7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5" t="s">
        <v>7</v>
      </c>
      <c r="H2" s="4" t="s">
        <v>8</v>
      </c>
      <c r="I2" s="5" t="s">
        <v>9</v>
      </c>
      <c r="J2" s="3" t="s">
        <v>10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Z2" s="6" t="inlineStr">
        <is>
          <t>MODALIDAD</t>
        </is>
      </c>
      <c r="AA2" s="6" t="inlineStr">
        <is>
          <t>PANTALLAS</t>
        </is>
      </c>
      <c r="AB2" s="6" t="inlineStr">
        <is>
          <t>COMENTARIO</t>
        </is>
      </c>
    </row>
    <row r="3" spans="1:25" ht="14" x14ac:dyDescent="0.3">
      <c r="A3" s="7"/>
      <c r="B3" s="6"/>
      <c r="C3" s="6"/>
      <c r="D3" s="6"/>
      <c r="E3" s="6"/>
      <c r="F3" s="6"/>
      <c r="G3" s="6"/>
      <c r="H3" s="6"/>
      <c r="I3" s="6"/>
      <c r="J3" s="2" t="s">
        <v>11</v>
      </c>
      <c r="K3" s="2"/>
      <c r="L3" s="2" t="s">
        <v>12</v>
      </c>
      <c r="M3" s="2"/>
      <c r="N3" s="2" t="s">
        <v>13</v>
      </c>
      <c r="O3" s="2"/>
      <c r="P3" s="2" t="s">
        <v>14</v>
      </c>
      <c r="Q3" s="2"/>
      <c r="R3" s="2" t="s">
        <v>15</v>
      </c>
      <c r="S3" s="2"/>
      <c r="T3" s="2" t="s">
        <v>16</v>
      </c>
      <c r="U3" s="2"/>
      <c r="V3" s="2" t="s">
        <v>17</v>
      </c>
      <c r="W3" s="2"/>
      <c r="X3" s="2" t="s">
        <v>18</v>
      </c>
      <c r="Y3" s="2"/>
    </row>
    <row r="4" spans="1:25" ht="14" x14ac:dyDescent="0.25">
      <c r="A4" s="10">
        <v>0</v>
      </c>
      <c r="B4" s="11" t="s">
        <v>19</v>
      </c>
      <c r="C4" s="11" t="s">
        <v>20</v>
      </c>
      <c r="D4" s="82">
        <v>46023</v>
      </c>
      <c r="E4" s="82">
        <v>46112</v>
      </c>
      <c r="F4" s="13">
        <f t="shared" ref="F4:F67" si="0">(E4-D4)+1</f>
        <v>90</v>
      </c>
      <c r="G4" s="14">
        <v>2700</v>
      </c>
      <c r="H4" s="15"/>
      <c r="I4" s="16"/>
      <c r="J4" s="17"/>
      <c r="K4" s="18" t="b">
        <f>FALSE()</f>
        <v>0</v>
      </c>
      <c r="L4" s="19"/>
      <c r="M4" s="19" t="b">
        <f>TRUE()</f>
        <v>1</v>
      </c>
      <c r="N4" s="17"/>
      <c r="O4" s="18" t="b">
        <f>FALSE()</f>
        <v>0</v>
      </c>
      <c r="P4" s="19"/>
      <c r="Q4" s="19" t="b">
        <f>TRUE()</f>
        <v>1</v>
      </c>
      <c r="R4" s="17"/>
      <c r="S4" s="18" t="b">
        <f>TRUE()</f>
        <v>1</v>
      </c>
      <c r="T4" s="19"/>
      <c r="U4" s="18" t="b">
        <f>FALSE()</f>
        <v>0</v>
      </c>
      <c r="V4" s="19"/>
      <c r="W4" s="18" t="b">
        <f>FALSE()</f>
        <v>0</v>
      </c>
      <c r="X4" s="19"/>
      <c r="Y4" s="18" t="b">
        <f>FALSE()</f>
        <v>0</v>
      </c>
    </row>
    <row r="5" spans="1:25" ht="14" x14ac:dyDescent="0.25">
      <c r="A5" s="10">
        <v>1</v>
      </c>
      <c r="B5" s="13" t="s">
        <v>21</v>
      </c>
      <c r="C5" s="13" t="s">
        <v>22</v>
      </c>
      <c r="D5" s="83">
        <v>46053</v>
      </c>
      <c r="E5" s="83">
        <v>46067</v>
      </c>
      <c r="F5" s="13">
        <f t="shared" si="0"/>
        <v>15</v>
      </c>
      <c r="G5" s="10">
        <v>1800</v>
      </c>
      <c r="H5" s="21">
        <v>1710</v>
      </c>
      <c r="I5" s="22">
        <f t="shared" ref="I5:I36" si="1">IFERROR(H5/(F5*G5),"")</f>
        <v>6.3333333333333339E-2</v>
      </c>
      <c r="J5" s="23">
        <f t="shared" ref="J5:J68" si="2">IF(K5=TRUE(),$I5,"")</f>
        <v>6.3333333333333339E-2</v>
      </c>
      <c r="K5" s="24" t="b">
        <f>TRUE()</f>
        <v>1</v>
      </c>
      <c r="L5" s="25">
        <f t="shared" ref="L5:L68" si="3">IF(M5=TRUE(),$I5,"")</f>
        <v>6.3333333333333339E-2</v>
      </c>
      <c r="M5" s="26" t="b">
        <f>TRUE()</f>
        <v>1</v>
      </c>
      <c r="N5" s="23">
        <f t="shared" ref="N5:N68" si="4">IF(O5=TRUE(),$I5,"")</f>
        <v>6.3333333333333339E-2</v>
      </c>
      <c r="O5" s="24" t="b">
        <f>TRUE()</f>
        <v>1</v>
      </c>
      <c r="P5" s="25">
        <f t="shared" ref="P5:P68" si="5">IF(Q5=TRUE(),$I5,"")</f>
        <v>6.3333333333333339E-2</v>
      </c>
      <c r="Q5" s="26" t="b">
        <f>TRUE()</f>
        <v>1</v>
      </c>
      <c r="R5" s="23">
        <f t="shared" ref="R5:R68" si="6">IF(S5=TRUE(),$I5,"")</f>
        <v>6.3333333333333339E-2</v>
      </c>
      <c r="S5" s="24" t="b">
        <f>TRUE()</f>
        <v>1</v>
      </c>
      <c r="T5" s="25">
        <f t="shared" ref="T5:T36" si="7">IF(U5=TRUE(),$I5,"")</f>
        <v>6.3333333333333339E-2</v>
      </c>
      <c r="U5" s="24" t="b">
        <f>TRUE()</f>
        <v>1</v>
      </c>
      <c r="V5" s="26"/>
      <c r="W5" s="24" t="b">
        <f>FALSE()</f>
        <v>0</v>
      </c>
      <c r="X5" s="26"/>
      <c r="Y5" s="24" t="b">
        <f>FALSE()</f>
        <v>0</v>
      </c>
    </row>
    <row r="6" spans="1:25" ht="14" x14ac:dyDescent="0.25">
      <c r="A6" s="10">
        <v>2</v>
      </c>
      <c r="B6" s="27" t="s">
        <v>23</v>
      </c>
      <c r="C6" s="27" t="s">
        <v>24</v>
      </c>
      <c r="D6" s="84">
        <v>46054</v>
      </c>
      <c r="E6" s="84">
        <v>46081</v>
      </c>
      <c r="F6" s="10">
        <f t="shared" si="0"/>
        <v>28</v>
      </c>
      <c r="G6" s="10">
        <v>300</v>
      </c>
      <c r="H6" s="21">
        <v>720</v>
      </c>
      <c r="I6" s="16">
        <f t="shared" si="1"/>
        <v>8.5714285714285715E-2</v>
      </c>
      <c r="J6" s="17" t="str">
        <f t="shared" si="2"/>
        <v/>
      </c>
      <c r="K6" s="18" t="b">
        <f>FALSE()</f>
        <v>0</v>
      </c>
      <c r="L6" s="19" t="str">
        <f t="shared" si="3"/>
        <v/>
      </c>
      <c r="M6" s="19" t="b">
        <f>FALSE()</f>
        <v>0</v>
      </c>
      <c r="N6" s="17" t="str">
        <f t="shared" si="4"/>
        <v/>
      </c>
      <c r="O6" s="18" t="b">
        <f>FALSE()</f>
        <v>0</v>
      </c>
      <c r="P6" s="29">
        <f t="shared" si="5"/>
        <v>8.5714285714285715E-2</v>
      </c>
      <c r="Q6" s="19" t="b">
        <f>TRUE()</f>
        <v>1</v>
      </c>
      <c r="R6" s="17" t="str">
        <f t="shared" si="6"/>
        <v/>
      </c>
      <c r="S6" s="18" t="b">
        <f>FALSE()</f>
        <v>0</v>
      </c>
      <c r="T6" s="19" t="str">
        <f t="shared" si="7"/>
        <v/>
      </c>
      <c r="U6" s="18" t="b">
        <f>FALSE()</f>
        <v>0</v>
      </c>
      <c r="V6" s="19"/>
      <c r="W6" s="18" t="b">
        <f>FALSE()</f>
        <v>0</v>
      </c>
      <c r="X6" s="19"/>
      <c r="Y6" s="18" t="b">
        <f>FALSE()</f>
        <v>0</v>
      </c>
    </row>
    <row r="7" spans="1:25" ht="14" x14ac:dyDescent="0.25">
      <c r="A7" s="10">
        <v>3</v>
      </c>
      <c r="B7" s="27" t="s">
        <v>25</v>
      </c>
      <c r="C7" s="27" t="s">
        <v>26</v>
      </c>
      <c r="D7" s="84">
        <v>46055</v>
      </c>
      <c r="E7" s="84">
        <v>46113</v>
      </c>
      <c r="F7" s="10">
        <f t="shared" si="0"/>
        <v>59</v>
      </c>
      <c r="G7" s="10">
        <v>1350</v>
      </c>
      <c r="H7" s="21">
        <v>4800</v>
      </c>
      <c r="I7" s="16">
        <f t="shared" si="1"/>
        <v>6.0263653483992465E-2</v>
      </c>
      <c r="J7" s="23">
        <f t="shared" si="2"/>
        <v>6.0263653483992465E-2</v>
      </c>
      <c r="K7" s="24" t="b">
        <f>TRUE()</f>
        <v>1</v>
      </c>
      <c r="L7" s="26" t="str">
        <f t="shared" si="3"/>
        <v/>
      </c>
      <c r="M7" s="26" t="b">
        <f>FALSE()</f>
        <v>0</v>
      </c>
      <c r="N7" s="30" t="str">
        <f t="shared" si="4"/>
        <v/>
      </c>
      <c r="O7" s="24" t="b">
        <f>FALSE()</f>
        <v>0</v>
      </c>
      <c r="P7" s="25">
        <f t="shared" si="5"/>
        <v>6.0263653483992465E-2</v>
      </c>
      <c r="Q7" s="26" t="b">
        <f>TRUE()</f>
        <v>1</v>
      </c>
      <c r="R7" s="23">
        <f t="shared" si="6"/>
        <v>6.0263653483992465E-2</v>
      </c>
      <c r="S7" s="24" t="b">
        <f>TRUE()</f>
        <v>1</v>
      </c>
      <c r="T7" s="26" t="str">
        <f t="shared" si="7"/>
        <v/>
      </c>
      <c r="U7" s="24" t="b">
        <f>FALSE()</f>
        <v>0</v>
      </c>
      <c r="V7" s="26"/>
      <c r="W7" s="24" t="b">
        <f>FALSE()</f>
        <v>0</v>
      </c>
      <c r="X7" s="26"/>
      <c r="Y7" s="24" t="b">
        <f>FALSE()</f>
        <v>0</v>
      </c>
    </row>
    <row r="8" spans="1:25" ht="14" x14ac:dyDescent="0.25">
      <c r="A8" s="10">
        <v>4</v>
      </c>
      <c r="B8" s="27" t="s">
        <v>27</v>
      </c>
      <c r="C8" s="27" t="s">
        <v>28</v>
      </c>
      <c r="D8" s="84">
        <v>46054</v>
      </c>
      <c r="E8" s="84">
        <v>46081</v>
      </c>
      <c r="F8" s="10">
        <f t="shared" si="0"/>
        <v>28</v>
      </c>
      <c r="G8" s="10">
        <v>600</v>
      </c>
      <c r="H8" s="21">
        <v>1440</v>
      </c>
      <c r="I8" s="16">
        <f t="shared" si="1"/>
        <v>8.5714285714285715E-2</v>
      </c>
      <c r="J8" s="17" t="str">
        <f t="shared" si="2"/>
        <v/>
      </c>
      <c r="K8" s="18" t="b">
        <f>FALSE()</f>
        <v>0</v>
      </c>
      <c r="L8" s="19" t="str">
        <f t="shared" si="3"/>
        <v/>
      </c>
      <c r="M8" s="19" t="b">
        <f>FALSE()</f>
        <v>0</v>
      </c>
      <c r="N8" s="17" t="str">
        <f t="shared" si="4"/>
        <v/>
      </c>
      <c r="O8" s="18" t="b">
        <f>FALSE()</f>
        <v>0</v>
      </c>
      <c r="P8" s="29">
        <f t="shared" si="5"/>
        <v>8.5714285714285715E-2</v>
      </c>
      <c r="Q8" s="19" t="b">
        <f>TRUE()</f>
        <v>1</v>
      </c>
      <c r="R8" s="17" t="str">
        <f t="shared" si="6"/>
        <v/>
      </c>
      <c r="S8" s="18" t="b">
        <f>FALSE()</f>
        <v>0</v>
      </c>
      <c r="T8" s="19" t="str">
        <f t="shared" si="7"/>
        <v/>
      </c>
      <c r="U8" s="18" t="b">
        <f>FALSE()</f>
        <v>0</v>
      </c>
      <c r="V8" s="19"/>
      <c r="W8" s="18" t="b">
        <f>FALSE()</f>
        <v>0</v>
      </c>
      <c r="X8" s="19"/>
      <c r="Y8" s="18" t="b">
        <f>FALSE()</f>
        <v>0</v>
      </c>
    </row>
    <row r="9" spans="1:25" ht="14" x14ac:dyDescent="0.25">
      <c r="A9" s="10">
        <v>5</v>
      </c>
      <c r="B9" s="27" t="s">
        <v>29</v>
      </c>
      <c r="C9" s="27" t="s">
        <v>30</v>
      </c>
      <c r="D9" s="84">
        <v>46054</v>
      </c>
      <c r="E9" s="84">
        <v>46081</v>
      </c>
      <c r="F9" s="10">
        <f t="shared" si="0"/>
        <v>28</v>
      </c>
      <c r="G9" s="10">
        <v>1350</v>
      </c>
      <c r="H9" s="21">
        <v>2350</v>
      </c>
      <c r="I9" s="16">
        <f t="shared" si="1"/>
        <v>6.2169312169312166E-2</v>
      </c>
      <c r="J9" s="30" t="str">
        <f t="shared" si="2"/>
        <v/>
      </c>
      <c r="K9" s="24" t="b">
        <f>FALSE()</f>
        <v>0</v>
      </c>
      <c r="L9" s="26" t="str">
        <f t="shared" si="3"/>
        <v/>
      </c>
      <c r="M9" s="26" t="b">
        <f>FALSE()</f>
        <v>0</v>
      </c>
      <c r="N9" s="23">
        <f t="shared" si="4"/>
        <v>6.2169312169312166E-2</v>
      </c>
      <c r="O9" s="24" t="b">
        <f>TRUE()</f>
        <v>1</v>
      </c>
      <c r="P9" s="26" t="str">
        <f t="shared" si="5"/>
        <v/>
      </c>
      <c r="Q9" s="26" t="b">
        <f>FALSE()</f>
        <v>0</v>
      </c>
      <c r="R9" s="23">
        <f t="shared" si="6"/>
        <v>6.2169312169312166E-2</v>
      </c>
      <c r="S9" s="24" t="b">
        <f>TRUE()</f>
        <v>1</v>
      </c>
      <c r="T9" s="25">
        <f t="shared" si="7"/>
        <v>6.2169312169312166E-2</v>
      </c>
      <c r="U9" s="24" t="b">
        <f>TRUE()</f>
        <v>1</v>
      </c>
      <c r="V9" s="26"/>
      <c r="W9" s="24" t="b">
        <f>FALSE()</f>
        <v>0</v>
      </c>
      <c r="X9" s="26"/>
      <c r="Y9" s="24" t="b">
        <f>FALSE()</f>
        <v>0</v>
      </c>
    </row>
    <row r="10" spans="1:25" ht="14" x14ac:dyDescent="0.25">
      <c r="A10" s="10">
        <v>6</v>
      </c>
      <c r="B10" s="27" t="s">
        <v>31</v>
      </c>
      <c r="C10" s="27" t="s">
        <v>32</v>
      </c>
      <c r="D10" s="84">
        <v>46054</v>
      </c>
      <c r="E10" s="84">
        <v>46081</v>
      </c>
      <c r="F10" s="10">
        <f t="shared" si="0"/>
        <v>28</v>
      </c>
      <c r="G10" s="10">
        <v>300</v>
      </c>
      <c r="H10" s="21">
        <v>550</v>
      </c>
      <c r="I10" s="16">
        <f t="shared" si="1"/>
        <v>6.5476190476190479E-2</v>
      </c>
      <c r="J10" s="31">
        <f t="shared" si="2"/>
        <v>6.5476190476190479E-2</v>
      </c>
      <c r="K10" s="18" t="b">
        <f>TRUE()</f>
        <v>1</v>
      </c>
      <c r="L10" s="19" t="str">
        <f t="shared" si="3"/>
        <v/>
      </c>
      <c r="M10" s="19" t="b">
        <f>FALSE()</f>
        <v>0</v>
      </c>
      <c r="N10" s="17" t="str">
        <f t="shared" si="4"/>
        <v/>
      </c>
      <c r="O10" s="18" t="b">
        <f>FALSE()</f>
        <v>0</v>
      </c>
      <c r="P10" s="19" t="str">
        <f t="shared" si="5"/>
        <v/>
      </c>
      <c r="Q10" s="19" t="b">
        <f>FALSE()</f>
        <v>0</v>
      </c>
      <c r="R10" s="17" t="str">
        <f t="shared" si="6"/>
        <v/>
      </c>
      <c r="S10" s="18" t="b">
        <f>FALSE()</f>
        <v>0</v>
      </c>
      <c r="T10" s="19" t="str">
        <f t="shared" si="7"/>
        <v/>
      </c>
      <c r="U10" s="18" t="b">
        <f>FALSE()</f>
        <v>0</v>
      </c>
      <c r="V10" s="19"/>
      <c r="W10" s="18" t="b">
        <f>FALSE()</f>
        <v>0</v>
      </c>
      <c r="X10" s="19"/>
      <c r="Y10" s="18" t="b">
        <f>FALSE()</f>
        <v>0</v>
      </c>
    </row>
    <row r="11" spans="1:25" ht="14" x14ac:dyDescent="0.25">
      <c r="A11" s="10">
        <v>7</v>
      </c>
      <c r="B11" s="27" t="s">
        <v>33</v>
      </c>
      <c r="C11" s="27" t="s">
        <v>34</v>
      </c>
      <c r="D11" s="84">
        <v>46054</v>
      </c>
      <c r="E11" s="84">
        <v>46081</v>
      </c>
      <c r="F11" s="10">
        <f t="shared" si="0"/>
        <v>28</v>
      </c>
      <c r="G11" s="10">
        <v>600</v>
      </c>
      <c r="H11" s="21">
        <v>1100</v>
      </c>
      <c r="I11" s="16">
        <f t="shared" si="1"/>
        <v>6.5476190476190479E-2</v>
      </c>
      <c r="J11" s="30" t="str">
        <f t="shared" si="2"/>
        <v/>
      </c>
      <c r="K11" s="24" t="b">
        <f>FALSE()</f>
        <v>0</v>
      </c>
      <c r="L11" s="26" t="str">
        <f t="shared" si="3"/>
        <v/>
      </c>
      <c r="M11" s="26" t="b">
        <f>FALSE()</f>
        <v>0</v>
      </c>
      <c r="N11" s="30" t="str">
        <f t="shared" si="4"/>
        <v/>
      </c>
      <c r="O11" s="24" t="b">
        <f>FALSE()</f>
        <v>0</v>
      </c>
      <c r="P11" s="25">
        <f t="shared" si="5"/>
        <v>6.5476190476190479E-2</v>
      </c>
      <c r="Q11" s="26" t="b">
        <f>TRUE()</f>
        <v>1</v>
      </c>
      <c r="R11" s="23">
        <f t="shared" si="6"/>
        <v>6.5476190476190479E-2</v>
      </c>
      <c r="S11" s="24" t="b">
        <f>TRUE()</f>
        <v>1</v>
      </c>
      <c r="T11" s="26" t="str">
        <f t="shared" si="7"/>
        <v/>
      </c>
      <c r="U11" s="18" t="b">
        <f>FALSE()</f>
        <v>0</v>
      </c>
      <c r="V11" s="26"/>
      <c r="W11" s="18" t="b">
        <f>FALSE()</f>
        <v>0</v>
      </c>
      <c r="X11" s="26"/>
      <c r="Y11" s="18" t="b">
        <f>FALSE()</f>
        <v>0</v>
      </c>
    </row>
    <row r="12" spans="1:25" ht="14" x14ac:dyDescent="0.25">
      <c r="A12" s="32">
        <v>8</v>
      </c>
      <c r="B12" s="27" t="s">
        <v>35</v>
      </c>
      <c r="C12" s="27" t="s">
        <v>36</v>
      </c>
      <c r="D12" s="84">
        <v>46058</v>
      </c>
      <c r="E12" s="84">
        <v>46146</v>
      </c>
      <c r="F12" s="10">
        <f t="shared" si="0"/>
        <v>89</v>
      </c>
      <c r="G12" s="10">
        <v>600</v>
      </c>
      <c r="H12" s="21">
        <v>2160</v>
      </c>
      <c r="I12" s="16">
        <f t="shared" si="1"/>
        <v>4.0449438202247189E-2</v>
      </c>
      <c r="J12" s="17" t="str">
        <f t="shared" si="2"/>
        <v/>
      </c>
      <c r="K12" s="18" t="b">
        <f>FALSE()</f>
        <v>0</v>
      </c>
      <c r="L12" s="19" t="str">
        <f t="shared" si="3"/>
        <v/>
      </c>
      <c r="M12" s="19" t="b">
        <f>FALSE()</f>
        <v>0</v>
      </c>
      <c r="N12" s="17" t="str">
        <f t="shared" si="4"/>
        <v/>
      </c>
      <c r="O12" s="18" t="b">
        <f>FALSE()</f>
        <v>0</v>
      </c>
      <c r="P12" s="29">
        <f t="shared" si="5"/>
        <v>4.0449438202247189E-2</v>
      </c>
      <c r="Q12" s="19" t="b">
        <f>TRUE()</f>
        <v>1</v>
      </c>
      <c r="R12" s="17" t="str">
        <f t="shared" si="6"/>
        <v/>
      </c>
      <c r="S12" s="18" t="b">
        <f>FALSE()</f>
        <v>0</v>
      </c>
      <c r="T12" s="29">
        <f t="shared" si="7"/>
        <v>4.0449438202247189E-2</v>
      </c>
      <c r="U12" s="18" t="b">
        <f>TRUE()</f>
        <v>1</v>
      </c>
      <c r="V12" s="19"/>
      <c r="W12" s="18" t="b">
        <f>FALSE()</f>
        <v>0</v>
      </c>
      <c r="X12" s="19"/>
      <c r="Y12" s="18" t="b">
        <f>FALSE()</f>
        <v>0</v>
      </c>
    </row>
    <row r="13" spans="1:25" ht="14" x14ac:dyDescent="0.25">
      <c r="A13" s="10">
        <v>9</v>
      </c>
      <c r="B13" s="27" t="s">
        <v>37</v>
      </c>
      <c r="C13" s="27" t="s">
        <v>38</v>
      </c>
      <c r="D13" s="84">
        <v>46058</v>
      </c>
      <c r="E13" s="84">
        <v>46063</v>
      </c>
      <c r="F13" s="10">
        <f t="shared" si="0"/>
        <v>6</v>
      </c>
      <c r="G13" s="10">
        <v>450</v>
      </c>
      <c r="H13" s="15"/>
      <c r="I13" s="16">
        <f t="shared" si="1"/>
        <v>0</v>
      </c>
      <c r="J13" s="30" t="str">
        <f t="shared" si="2"/>
        <v/>
      </c>
      <c r="K13" s="24" t="b">
        <f>FALSE()</f>
        <v>0</v>
      </c>
      <c r="L13" s="26" t="str">
        <f t="shared" si="3"/>
        <v/>
      </c>
      <c r="M13" s="26" t="b">
        <f>FALSE()</f>
        <v>0</v>
      </c>
      <c r="N13" s="30" t="str">
        <f t="shared" si="4"/>
        <v/>
      </c>
      <c r="O13" s="24" t="b">
        <f>FALSE()</f>
        <v>0</v>
      </c>
      <c r="P13" s="26" t="str">
        <f t="shared" si="5"/>
        <v/>
      </c>
      <c r="Q13" s="26" t="b">
        <f>FALSE()</f>
        <v>0</v>
      </c>
      <c r="R13" s="23">
        <f t="shared" si="6"/>
        <v>0</v>
      </c>
      <c r="S13" s="24" t="b">
        <f>TRUE()</f>
        <v>1</v>
      </c>
      <c r="T13" s="26" t="str">
        <f t="shared" si="7"/>
        <v/>
      </c>
      <c r="U13" s="24" t="b">
        <f>FALSE()</f>
        <v>0</v>
      </c>
      <c r="V13" s="26"/>
      <c r="W13" s="24" t="b">
        <f>FALSE()</f>
        <v>0</v>
      </c>
      <c r="X13" s="26"/>
      <c r="Y13" s="24" t="b">
        <f>FALSE()</f>
        <v>0</v>
      </c>
    </row>
    <row r="14" spans="1:25" ht="14" x14ac:dyDescent="0.25">
      <c r="A14" s="10">
        <v>10</v>
      </c>
      <c r="B14" s="27" t="s">
        <v>39</v>
      </c>
      <c r="C14" s="27" t="s">
        <v>40</v>
      </c>
      <c r="D14" s="84">
        <v>46058</v>
      </c>
      <c r="E14" s="84">
        <v>46081</v>
      </c>
      <c r="F14" s="10">
        <f t="shared" si="0"/>
        <v>24</v>
      </c>
      <c r="G14" s="10">
        <v>600</v>
      </c>
      <c r="H14" s="21">
        <v>1350</v>
      </c>
      <c r="I14" s="16">
        <f t="shared" si="1"/>
        <v>9.375E-2</v>
      </c>
      <c r="J14" s="17" t="str">
        <f t="shared" si="2"/>
        <v/>
      </c>
      <c r="K14" s="18" t="b">
        <f>FALSE()</f>
        <v>0</v>
      </c>
      <c r="L14" s="19" t="str">
        <f t="shared" si="3"/>
        <v/>
      </c>
      <c r="M14" s="19" t="b">
        <f>FALSE()</f>
        <v>0</v>
      </c>
      <c r="N14" s="17" t="str">
        <f t="shared" si="4"/>
        <v/>
      </c>
      <c r="O14" s="18" t="b">
        <f>FALSE()</f>
        <v>0</v>
      </c>
      <c r="P14" s="29">
        <f t="shared" si="5"/>
        <v>9.375E-2</v>
      </c>
      <c r="Q14" s="19" t="b">
        <f>TRUE()</f>
        <v>1</v>
      </c>
      <c r="R14" s="17" t="str">
        <f t="shared" si="6"/>
        <v/>
      </c>
      <c r="S14" s="18" t="b">
        <f>FALSE()</f>
        <v>0</v>
      </c>
      <c r="T14" s="29">
        <f t="shared" si="7"/>
        <v>9.375E-2</v>
      </c>
      <c r="U14" s="18" t="b">
        <f>TRUE()</f>
        <v>1</v>
      </c>
      <c r="V14" s="19"/>
      <c r="W14" s="18" t="b">
        <f>FALSE()</f>
        <v>0</v>
      </c>
      <c r="X14" s="19"/>
      <c r="Y14" s="18" t="b">
        <f>FALSE()</f>
        <v>0</v>
      </c>
    </row>
    <row r="15" spans="1:25" ht="14" x14ac:dyDescent="0.25">
      <c r="A15" s="10">
        <v>11</v>
      </c>
      <c r="B15" s="27" t="s">
        <v>37</v>
      </c>
      <c r="C15" s="27" t="s">
        <v>41</v>
      </c>
      <c r="D15" s="84">
        <v>46064</v>
      </c>
      <c r="E15" s="84">
        <v>46067</v>
      </c>
      <c r="F15" s="10">
        <f t="shared" si="0"/>
        <v>4</v>
      </c>
      <c r="G15" s="10">
        <v>1800</v>
      </c>
      <c r="H15" s="15"/>
      <c r="I15" s="16">
        <f t="shared" si="1"/>
        <v>0</v>
      </c>
      <c r="J15" s="30" t="str">
        <f t="shared" si="2"/>
        <v/>
      </c>
      <c r="K15" s="24" t="b">
        <f>FALSE()</f>
        <v>0</v>
      </c>
      <c r="L15" s="25">
        <f t="shared" si="3"/>
        <v>0</v>
      </c>
      <c r="M15" s="26" t="b">
        <f>TRUE()</f>
        <v>1</v>
      </c>
      <c r="N15" s="30" t="str">
        <f t="shared" si="4"/>
        <v/>
      </c>
      <c r="O15" s="24" t="b">
        <f>FALSE()</f>
        <v>0</v>
      </c>
      <c r="P15" s="26" t="str">
        <f t="shared" si="5"/>
        <v/>
      </c>
      <c r="Q15" s="26" t="b">
        <f>FALSE()</f>
        <v>0</v>
      </c>
      <c r="R15" s="23">
        <f t="shared" si="6"/>
        <v>0</v>
      </c>
      <c r="S15" s="24" t="b">
        <f>TRUE()</f>
        <v>1</v>
      </c>
      <c r="T15" s="26" t="str">
        <f t="shared" si="7"/>
        <v/>
      </c>
      <c r="U15" s="24" t="b">
        <f>FALSE()</f>
        <v>0</v>
      </c>
      <c r="V15" s="26"/>
      <c r="W15" s="24" t="b">
        <f>FALSE()</f>
        <v>0</v>
      </c>
      <c r="X15" s="26"/>
      <c r="Y15" s="24" t="b">
        <f>FALSE()</f>
        <v>0</v>
      </c>
    </row>
    <row r="16" spans="1:25" ht="14" x14ac:dyDescent="0.25">
      <c r="A16" s="10">
        <v>12</v>
      </c>
      <c r="B16" s="11" t="s">
        <v>42</v>
      </c>
      <c r="C16" s="11" t="s">
        <v>43</v>
      </c>
      <c r="D16" s="82">
        <v>46064</v>
      </c>
      <c r="E16" s="82">
        <v>46092</v>
      </c>
      <c r="F16" s="10">
        <f t="shared" si="0"/>
        <v>29</v>
      </c>
      <c r="G16" s="10">
        <v>450</v>
      </c>
      <c r="H16" s="15"/>
      <c r="I16" s="16">
        <f t="shared" si="1"/>
        <v>0</v>
      </c>
      <c r="J16" s="17" t="str">
        <f t="shared" si="2"/>
        <v/>
      </c>
      <c r="K16" s="18" t="b">
        <f>FALSE()</f>
        <v>0</v>
      </c>
      <c r="L16" s="19" t="str">
        <f t="shared" si="3"/>
        <v/>
      </c>
      <c r="M16" s="19" t="b">
        <f>FALSE()</f>
        <v>0</v>
      </c>
      <c r="N16" s="31">
        <f t="shared" si="4"/>
        <v>0</v>
      </c>
      <c r="O16" s="18" t="b">
        <f>TRUE()</f>
        <v>1</v>
      </c>
      <c r="P16" s="19" t="str">
        <f t="shared" si="5"/>
        <v/>
      </c>
      <c r="Q16" s="19" t="b">
        <f>FALSE()</f>
        <v>0</v>
      </c>
      <c r="R16" s="17" t="str">
        <f t="shared" si="6"/>
        <v/>
      </c>
      <c r="S16" s="18" t="b">
        <f>FALSE()</f>
        <v>0</v>
      </c>
      <c r="T16" s="19" t="str">
        <f t="shared" si="7"/>
        <v/>
      </c>
      <c r="U16" s="18" t="b">
        <f>FALSE()</f>
        <v>0</v>
      </c>
      <c r="V16" s="19"/>
      <c r="W16" s="18" t="b">
        <f>FALSE()</f>
        <v>0</v>
      </c>
      <c r="X16" s="19"/>
      <c r="Y16" s="18" t="b">
        <f>FALSE()</f>
        <v>0</v>
      </c>
    </row>
    <row r="17" spans="1:35" ht="14" x14ac:dyDescent="0.25">
      <c r="A17" s="10">
        <v>13</v>
      </c>
      <c r="B17" s="13" t="s">
        <v>37</v>
      </c>
      <c r="C17" s="13" t="s">
        <v>44</v>
      </c>
      <c r="D17" s="83">
        <v>46067</v>
      </c>
      <c r="E17" s="83">
        <v>46094</v>
      </c>
      <c r="F17" s="10">
        <f t="shared" si="0"/>
        <v>28</v>
      </c>
      <c r="G17" s="10">
        <v>450</v>
      </c>
      <c r="H17" s="21">
        <v>675</v>
      </c>
      <c r="I17" s="16">
        <f t="shared" si="1"/>
        <v>5.3571428571428568E-2</v>
      </c>
      <c r="J17" s="23">
        <f t="shared" si="2"/>
        <v>5.3571428571428568E-2</v>
      </c>
      <c r="K17" s="24" t="b">
        <f>TRUE()</f>
        <v>1</v>
      </c>
      <c r="L17" s="26" t="str">
        <f t="shared" si="3"/>
        <v/>
      </c>
      <c r="M17" s="26" t="b">
        <f>FALSE()</f>
        <v>0</v>
      </c>
      <c r="N17" s="30" t="str">
        <f t="shared" si="4"/>
        <v/>
      </c>
      <c r="O17" s="24" t="b">
        <f>FALSE()</f>
        <v>0</v>
      </c>
      <c r="P17" s="26" t="str">
        <f t="shared" si="5"/>
        <v/>
      </c>
      <c r="Q17" s="26" t="b">
        <f>FALSE()</f>
        <v>0</v>
      </c>
      <c r="R17" s="23">
        <f t="shared" si="6"/>
        <v>5.3571428571428568E-2</v>
      </c>
      <c r="S17" s="24" t="b">
        <f>TRUE()</f>
        <v>1</v>
      </c>
      <c r="T17" s="26" t="str">
        <f t="shared" si="7"/>
        <v/>
      </c>
      <c r="U17" s="24" t="b">
        <f>FALSE()</f>
        <v>0</v>
      </c>
      <c r="V17" s="26"/>
      <c r="W17" s="24" t="b">
        <f>FALSE()</f>
        <v>0</v>
      </c>
      <c r="X17" s="26"/>
      <c r="Y17" s="24" t="b">
        <f>FALSE()</f>
        <v>0</v>
      </c>
    </row>
    <row r="18" spans="1:35" ht="14" x14ac:dyDescent="0.25">
      <c r="A18" s="10">
        <v>14</v>
      </c>
      <c r="B18" s="11" t="s">
        <v>37</v>
      </c>
      <c r="C18" s="11" t="s">
        <v>45</v>
      </c>
      <c r="D18" s="82">
        <v>46068</v>
      </c>
      <c r="E18" s="82">
        <v>46071</v>
      </c>
      <c r="F18" s="11">
        <f t="shared" si="0"/>
        <v>4</v>
      </c>
      <c r="G18" s="10">
        <v>1800</v>
      </c>
      <c r="H18" s="21">
        <v>360</v>
      </c>
      <c r="I18" s="16">
        <f t="shared" si="1"/>
        <v>0.05</v>
      </c>
      <c r="J18" s="31">
        <f t="shared" si="2"/>
        <v>0.05</v>
      </c>
      <c r="K18" s="18" t="b">
        <f>TRUE()</f>
        <v>1</v>
      </c>
      <c r="L18" s="19" t="str">
        <f t="shared" si="3"/>
        <v/>
      </c>
      <c r="M18" s="19" t="b">
        <f>FALSE()</f>
        <v>0</v>
      </c>
      <c r="N18" s="31">
        <f t="shared" si="4"/>
        <v>0.05</v>
      </c>
      <c r="O18" s="18" t="b">
        <f>TRUE()</f>
        <v>1</v>
      </c>
      <c r="P18" s="19" t="str">
        <f t="shared" si="5"/>
        <v/>
      </c>
      <c r="Q18" s="19" t="b">
        <f>FALSE()</f>
        <v>0</v>
      </c>
      <c r="R18" s="17" t="str">
        <f t="shared" si="6"/>
        <v/>
      </c>
      <c r="S18" s="18" t="b">
        <f>FALSE()</f>
        <v>0</v>
      </c>
      <c r="T18" s="19" t="str">
        <f t="shared" si="7"/>
        <v/>
      </c>
      <c r="U18" s="18" t="b">
        <f>FALSE()</f>
        <v>0</v>
      </c>
      <c r="V18" s="19"/>
      <c r="W18" s="18" t="b">
        <f>FALSE()</f>
        <v>0</v>
      </c>
      <c r="X18" s="19"/>
      <c r="Y18" s="18" t="b">
        <f>FALSE()</f>
        <v>0</v>
      </c>
    </row>
    <row r="19" spans="1:35" ht="14" x14ac:dyDescent="0.25">
      <c r="A19" s="10">
        <v>15</v>
      </c>
      <c r="B19" s="13" t="s">
        <v>46</v>
      </c>
      <c r="C19" s="13" t="s">
        <v>20</v>
      </c>
      <c r="D19" s="83">
        <v>46068</v>
      </c>
      <c r="E19" s="83">
        <v>46095</v>
      </c>
      <c r="F19" s="13">
        <f t="shared" si="0"/>
        <v>28</v>
      </c>
      <c r="G19" s="10">
        <v>1800</v>
      </c>
      <c r="H19" s="21">
        <v>3780</v>
      </c>
      <c r="I19" s="16">
        <f t="shared" si="1"/>
        <v>7.4999999999999997E-2</v>
      </c>
      <c r="J19" s="30" t="str">
        <f t="shared" si="2"/>
        <v/>
      </c>
      <c r="K19" s="24" t="b">
        <f>FALSE()</f>
        <v>0</v>
      </c>
      <c r="L19" s="26" t="str">
        <f t="shared" si="3"/>
        <v/>
      </c>
      <c r="M19" s="26" t="b">
        <f>FALSE()</f>
        <v>0</v>
      </c>
      <c r="N19" s="30" t="str">
        <f t="shared" si="4"/>
        <v/>
      </c>
      <c r="O19" s="24" t="b">
        <f>FALSE()</f>
        <v>0</v>
      </c>
      <c r="P19" s="25">
        <f t="shared" si="5"/>
        <v>7.4999999999999997E-2</v>
      </c>
      <c r="Q19" s="26" t="b">
        <f>TRUE()</f>
        <v>1</v>
      </c>
      <c r="R19" s="23">
        <f t="shared" si="6"/>
        <v>7.4999999999999997E-2</v>
      </c>
      <c r="S19" s="24" t="b">
        <f>TRUE()</f>
        <v>1</v>
      </c>
      <c r="T19" s="26" t="str">
        <f t="shared" si="7"/>
        <v/>
      </c>
      <c r="U19" s="24" t="b">
        <f>FALSE()</f>
        <v>0</v>
      </c>
      <c r="V19" s="26"/>
      <c r="W19" s="24" t="b">
        <f>FALSE()</f>
        <v>0</v>
      </c>
      <c r="X19" s="26"/>
      <c r="Y19" s="24" t="b">
        <f>FALSE()</f>
        <v>0</v>
      </c>
    </row>
    <row r="20" spans="1:35" ht="14" x14ac:dyDescent="0.3">
      <c r="A20" s="10">
        <v>16</v>
      </c>
      <c r="B20" s="11" t="s">
        <v>47</v>
      </c>
      <c r="C20" s="11" t="s">
        <v>48</v>
      </c>
      <c r="D20" s="82">
        <v>46054</v>
      </c>
      <c r="E20" s="85">
        <v>46081</v>
      </c>
      <c r="F20" s="27">
        <f t="shared" si="0"/>
        <v>28</v>
      </c>
      <c r="G20" s="10">
        <v>1800</v>
      </c>
      <c r="H20" s="34">
        <f>2840*12</f>
        <v>34080</v>
      </c>
      <c r="I20" s="16">
        <f t="shared" si="1"/>
        <v>0.67619047619047623</v>
      </c>
      <c r="J20" s="17" t="str">
        <f t="shared" si="2"/>
        <v/>
      </c>
      <c r="K20" s="18" t="b">
        <f>FALSE()</f>
        <v>0</v>
      </c>
      <c r="L20" s="19" t="str">
        <f t="shared" si="3"/>
        <v/>
      </c>
      <c r="M20" s="19" t="b">
        <f>FALSE()</f>
        <v>0</v>
      </c>
      <c r="N20" s="17" t="str">
        <f t="shared" si="4"/>
        <v/>
      </c>
      <c r="O20" s="18" t="b">
        <f>FALSE()</f>
        <v>0</v>
      </c>
      <c r="P20" s="19" t="str">
        <f t="shared" si="5"/>
        <v/>
      </c>
      <c r="Q20" s="19" t="b">
        <f>FALSE()</f>
        <v>0</v>
      </c>
      <c r="R20" s="17" t="str">
        <f t="shared" si="6"/>
        <v/>
      </c>
      <c r="S20" s="18" t="b">
        <f>FALSE()</f>
        <v>0</v>
      </c>
      <c r="T20" s="29">
        <f t="shared" si="7"/>
        <v>0.67619047619047623</v>
      </c>
      <c r="U20" s="18" t="b">
        <f>TRUE()</f>
        <v>1</v>
      </c>
      <c r="V20" s="19"/>
      <c r="W20" s="18" t="b">
        <f>FALSE()</f>
        <v>0</v>
      </c>
      <c r="X20" s="19"/>
      <c r="Y20" s="18" t="b">
        <f>FALSE()</f>
        <v>0</v>
      </c>
    </row>
    <row r="21" spans="1:35" ht="14" x14ac:dyDescent="0.3">
      <c r="A21" s="10">
        <v>17</v>
      </c>
      <c r="B21" s="35" t="s">
        <v>49</v>
      </c>
      <c r="C21" s="35" t="s">
        <v>48</v>
      </c>
      <c r="D21" s="85">
        <v>46054</v>
      </c>
      <c r="E21" s="85">
        <v>46387</v>
      </c>
      <c r="F21" s="10">
        <f t="shared" si="0"/>
        <v>334</v>
      </c>
      <c r="G21" s="10">
        <v>750</v>
      </c>
      <c r="H21" s="21">
        <v>14850</v>
      </c>
      <c r="I21" s="16">
        <f t="shared" si="1"/>
        <v>5.9281437125748501E-2</v>
      </c>
      <c r="J21" s="30" t="str">
        <f t="shared" si="2"/>
        <v/>
      </c>
      <c r="K21" s="24" t="b">
        <f>FALSE()</f>
        <v>0</v>
      </c>
      <c r="L21" s="26" t="str">
        <f t="shared" si="3"/>
        <v/>
      </c>
      <c r="M21" s="26" t="b">
        <f>FALSE()</f>
        <v>0</v>
      </c>
      <c r="N21" s="23">
        <f t="shared" si="4"/>
        <v>5.9281437125748501E-2</v>
      </c>
      <c r="O21" s="24" t="b">
        <f>TRUE()</f>
        <v>1</v>
      </c>
      <c r="P21" s="26" t="str">
        <f t="shared" si="5"/>
        <v/>
      </c>
      <c r="Q21" s="26" t="b">
        <f>FALSE()</f>
        <v>0</v>
      </c>
      <c r="R21" s="30" t="str">
        <f t="shared" si="6"/>
        <v/>
      </c>
      <c r="S21" s="24" t="b">
        <f>FALSE()</f>
        <v>0</v>
      </c>
      <c r="T21" s="26" t="str">
        <f t="shared" si="7"/>
        <v/>
      </c>
      <c r="U21" s="24" t="b">
        <f>FALSE()</f>
        <v>0</v>
      </c>
      <c r="V21" s="26"/>
      <c r="W21" s="24" t="b">
        <f>FALSE()</f>
        <v>0</v>
      </c>
      <c r="X21" s="26"/>
      <c r="Y21" s="24" t="b">
        <f>FALSE()</f>
        <v>0</v>
      </c>
    </row>
    <row r="22" spans="1:35" ht="14" x14ac:dyDescent="0.3">
      <c r="A22" s="10">
        <v>18</v>
      </c>
      <c r="B22" s="27" t="s">
        <v>50</v>
      </c>
      <c r="C22" s="27" t="s">
        <v>48</v>
      </c>
      <c r="D22" s="84">
        <v>45992</v>
      </c>
      <c r="E22" s="85">
        <v>46356</v>
      </c>
      <c r="F22" s="11">
        <f t="shared" si="0"/>
        <v>365</v>
      </c>
      <c r="G22" s="10">
        <v>300</v>
      </c>
      <c r="H22" s="15"/>
      <c r="I22" s="16">
        <f t="shared" si="1"/>
        <v>0</v>
      </c>
      <c r="J22" s="17" t="str">
        <f t="shared" si="2"/>
        <v/>
      </c>
      <c r="K22" s="18" t="b">
        <f>FALSE()</f>
        <v>0</v>
      </c>
      <c r="L22" s="19" t="str">
        <f t="shared" si="3"/>
        <v/>
      </c>
      <c r="M22" s="19" t="b">
        <f>FALSE()</f>
        <v>0</v>
      </c>
      <c r="N22" s="17" t="str">
        <f t="shared" si="4"/>
        <v/>
      </c>
      <c r="O22" s="18" t="b">
        <f>FALSE()</f>
        <v>0</v>
      </c>
      <c r="P22" s="19" t="str">
        <f t="shared" si="5"/>
        <v/>
      </c>
      <c r="Q22" s="19" t="b">
        <f>FALSE()</f>
        <v>0</v>
      </c>
      <c r="R22" s="17" t="str">
        <f t="shared" si="6"/>
        <v/>
      </c>
      <c r="S22" s="18" t="b">
        <f>FALSE()</f>
        <v>0</v>
      </c>
      <c r="T22" s="19" t="str">
        <f t="shared" si="7"/>
        <v/>
      </c>
      <c r="U22" s="18" t="b">
        <f>FALSE()</f>
        <v>0</v>
      </c>
      <c r="V22" s="19"/>
      <c r="W22" s="18" t="b">
        <f>FALSE()</f>
        <v>0</v>
      </c>
      <c r="X22" s="19"/>
      <c r="Y22" s="18" t="b">
        <f>FALSE()</f>
        <v>0</v>
      </c>
    </row>
    <row r="23" spans="1:35" ht="14" x14ac:dyDescent="0.3">
      <c r="A23" s="10">
        <v>19</v>
      </c>
      <c r="B23" s="36" t="s">
        <v>51</v>
      </c>
      <c r="C23" s="36" t="s">
        <v>52</v>
      </c>
      <c r="D23" s="86">
        <v>46071</v>
      </c>
      <c r="E23" s="85">
        <v>46098</v>
      </c>
      <c r="F23" s="38">
        <f t="shared" si="0"/>
        <v>28</v>
      </c>
      <c r="G23" s="39">
        <v>300</v>
      </c>
      <c r="H23" s="40">
        <v>550</v>
      </c>
      <c r="I23" s="16">
        <f t="shared" si="1"/>
        <v>6.5476190476190479E-2</v>
      </c>
      <c r="J23" s="30" t="str">
        <f t="shared" si="2"/>
        <v/>
      </c>
      <c r="K23" s="24" t="b">
        <f>FALSE()</f>
        <v>0</v>
      </c>
      <c r="L23" s="26" t="str">
        <f t="shared" si="3"/>
        <v/>
      </c>
      <c r="M23" s="26" t="b">
        <f>FALSE()</f>
        <v>0</v>
      </c>
      <c r="N23" s="30" t="str">
        <f t="shared" si="4"/>
        <v/>
      </c>
      <c r="O23" s="24" t="b">
        <f>FALSE()</f>
        <v>0</v>
      </c>
      <c r="P23" s="25">
        <f t="shared" si="5"/>
        <v>6.5476190476190479E-2</v>
      </c>
      <c r="Q23" s="26" t="b">
        <f>TRUE()</f>
        <v>1</v>
      </c>
      <c r="R23" s="30" t="str">
        <f t="shared" si="6"/>
        <v/>
      </c>
      <c r="S23" s="24" t="b">
        <f>FALSE()</f>
        <v>0</v>
      </c>
      <c r="T23" s="26" t="str">
        <f t="shared" si="7"/>
        <v/>
      </c>
      <c r="U23" s="24" t="b">
        <f>FALSE()</f>
        <v>0</v>
      </c>
      <c r="V23" s="26"/>
      <c r="W23" s="24" t="b">
        <f>FALSE()</f>
        <v>0</v>
      </c>
      <c r="X23" s="26"/>
      <c r="Y23" s="24" t="b">
        <f>FALSE()</f>
        <v>0</v>
      </c>
    </row>
    <row r="24" spans="1:35" ht="14" x14ac:dyDescent="0.3">
      <c r="A24" s="10">
        <v>20</v>
      </c>
      <c r="B24" s="35" t="s">
        <v>53</v>
      </c>
      <c r="C24" s="35" t="s">
        <v>20</v>
      </c>
      <c r="D24" s="85">
        <v>46070</v>
      </c>
      <c r="E24" s="85">
        <v>46097</v>
      </c>
      <c r="F24" s="13">
        <f t="shared" si="0"/>
        <v>28</v>
      </c>
      <c r="G24" s="13">
        <v>450</v>
      </c>
      <c r="H24" s="41">
        <v>810</v>
      </c>
      <c r="I24" s="16">
        <f t="shared" si="1"/>
        <v>6.4285714285714279E-2</v>
      </c>
      <c r="J24" s="17" t="str">
        <f t="shared" si="2"/>
        <v/>
      </c>
      <c r="K24" s="18" t="b">
        <f>FALSE()</f>
        <v>0</v>
      </c>
      <c r="L24" s="19" t="str">
        <f t="shared" si="3"/>
        <v/>
      </c>
      <c r="M24" s="19" t="b">
        <f>FALSE()</f>
        <v>0</v>
      </c>
      <c r="N24" s="31">
        <f t="shared" si="4"/>
        <v>6.4285714285714279E-2</v>
      </c>
      <c r="O24" s="18" t="b">
        <f>TRUE()</f>
        <v>1</v>
      </c>
      <c r="P24" s="19" t="str">
        <f t="shared" si="5"/>
        <v/>
      </c>
      <c r="Q24" s="19" t="b">
        <f>FALSE()</f>
        <v>0</v>
      </c>
      <c r="R24" s="17" t="str">
        <f t="shared" si="6"/>
        <v/>
      </c>
      <c r="S24" s="18" t="b">
        <f>FALSE()</f>
        <v>0</v>
      </c>
      <c r="T24" s="19" t="str">
        <f t="shared" si="7"/>
        <v/>
      </c>
      <c r="U24" s="18" t="b">
        <f>FALSE()</f>
        <v>0</v>
      </c>
      <c r="V24" s="19"/>
      <c r="W24" s="18" t="b">
        <f>FALSE()</f>
        <v>0</v>
      </c>
      <c r="X24" s="19"/>
      <c r="Y24" s="18" t="b">
        <f>FALSE()</f>
        <v>0</v>
      </c>
    </row>
    <row r="25" spans="1:35" ht="14" x14ac:dyDescent="0.3">
      <c r="A25" s="10">
        <v>21</v>
      </c>
      <c r="B25" s="42" t="s">
        <v>54</v>
      </c>
      <c r="C25" s="42" t="s">
        <v>55</v>
      </c>
      <c r="D25" s="87">
        <v>46073</v>
      </c>
      <c r="E25" s="85">
        <v>46084</v>
      </c>
      <c r="F25" s="27">
        <f t="shared" si="0"/>
        <v>12</v>
      </c>
      <c r="G25" s="27">
        <v>1800</v>
      </c>
      <c r="H25" s="44">
        <v>0</v>
      </c>
      <c r="I25" s="16">
        <f t="shared" si="1"/>
        <v>0</v>
      </c>
      <c r="J25" s="31">
        <f t="shared" si="2"/>
        <v>0</v>
      </c>
      <c r="K25" s="18" t="b">
        <f>TRUE()</f>
        <v>1</v>
      </c>
      <c r="L25" s="29">
        <f t="shared" si="3"/>
        <v>0</v>
      </c>
      <c r="M25" s="19" t="b">
        <f>TRUE()</f>
        <v>1</v>
      </c>
      <c r="N25" s="31">
        <f t="shared" si="4"/>
        <v>0</v>
      </c>
      <c r="O25" s="18" t="b">
        <f>TRUE()</f>
        <v>1</v>
      </c>
      <c r="P25" s="29">
        <f t="shared" si="5"/>
        <v>0</v>
      </c>
      <c r="Q25" s="19" t="b">
        <f>TRUE()</f>
        <v>1</v>
      </c>
      <c r="R25" s="31">
        <f t="shared" si="6"/>
        <v>0</v>
      </c>
      <c r="S25" s="18" t="b">
        <f>TRUE()</f>
        <v>1</v>
      </c>
      <c r="T25" s="29">
        <f t="shared" si="7"/>
        <v>0</v>
      </c>
      <c r="U25" s="18" t="b">
        <f>TRUE()</f>
        <v>1</v>
      </c>
      <c r="V25" s="19"/>
      <c r="W25" s="18" t="b">
        <f>FALSE()</f>
        <v>0</v>
      </c>
      <c r="X25" s="19"/>
      <c r="Y25" s="18" t="b">
        <f>FALSE()</f>
        <v>0</v>
      </c>
    </row>
    <row r="26" spans="1:35" ht="14" x14ac:dyDescent="0.3">
      <c r="A26" s="10">
        <v>22</v>
      </c>
      <c r="B26" s="35" t="s">
        <v>56</v>
      </c>
      <c r="C26" s="35" t="s">
        <v>57</v>
      </c>
      <c r="D26" s="85">
        <v>46082</v>
      </c>
      <c r="E26" s="85">
        <v>46112</v>
      </c>
      <c r="F26" s="13">
        <f t="shared" si="0"/>
        <v>31</v>
      </c>
      <c r="G26" s="10">
        <v>450</v>
      </c>
      <c r="H26" s="21">
        <v>600</v>
      </c>
      <c r="I26" s="16">
        <f t="shared" si="1"/>
        <v>4.3010752688172046E-2</v>
      </c>
      <c r="J26" s="30" t="str">
        <f t="shared" si="2"/>
        <v/>
      </c>
      <c r="K26" s="24" t="b">
        <f>FALSE()</f>
        <v>0</v>
      </c>
      <c r="L26" s="26" t="str">
        <f t="shared" si="3"/>
        <v/>
      </c>
      <c r="M26" s="26" t="b">
        <f>FALSE()</f>
        <v>0</v>
      </c>
      <c r="N26" s="30" t="str">
        <f t="shared" si="4"/>
        <v/>
      </c>
      <c r="O26" s="24" t="b">
        <f>FALSE()</f>
        <v>0</v>
      </c>
      <c r="P26" s="26" t="str">
        <f t="shared" si="5"/>
        <v/>
      </c>
      <c r="Q26" s="26" t="b">
        <f>FALSE()</f>
        <v>0</v>
      </c>
      <c r="R26" s="30" t="str">
        <f t="shared" si="6"/>
        <v/>
      </c>
      <c r="S26" s="24" t="b">
        <f>FALSE()</f>
        <v>0</v>
      </c>
      <c r="T26" s="25">
        <f t="shared" si="7"/>
        <v>4.3010752688172046E-2</v>
      </c>
      <c r="U26" s="24" t="b">
        <f>TRUE()</f>
        <v>1</v>
      </c>
      <c r="V26" s="26"/>
      <c r="W26" s="24" t="b">
        <f>FALSE()</f>
        <v>0</v>
      </c>
      <c r="X26" s="26"/>
      <c r="Y26" s="24" t="b">
        <f>FALSE()</f>
        <v>0</v>
      </c>
    </row>
    <row r="27" spans="1:35" ht="14" x14ac:dyDescent="0.3">
      <c r="A27" s="10">
        <v>23</v>
      </c>
      <c r="B27" s="42" t="s">
        <v>58</v>
      </c>
      <c r="C27" s="42" t="s">
        <v>57</v>
      </c>
      <c r="D27" s="87">
        <v>46082</v>
      </c>
      <c r="E27" s="85">
        <v>46112</v>
      </c>
      <c r="F27" s="27">
        <f t="shared" si="0"/>
        <v>31</v>
      </c>
      <c r="G27" s="10">
        <v>900</v>
      </c>
      <c r="H27" s="21">
        <v>1200</v>
      </c>
      <c r="I27" s="16">
        <f t="shared" si="1"/>
        <v>4.3010752688172046E-2</v>
      </c>
      <c r="J27" s="31">
        <f t="shared" si="2"/>
        <v>4.3010752688172046E-2</v>
      </c>
      <c r="K27" s="18" t="b">
        <f>TRUE()</f>
        <v>1</v>
      </c>
      <c r="L27" s="19" t="str">
        <f t="shared" si="3"/>
        <v/>
      </c>
      <c r="M27" s="19" t="b">
        <f>FALSE()</f>
        <v>0</v>
      </c>
      <c r="N27" s="17" t="str">
        <f t="shared" si="4"/>
        <v/>
      </c>
      <c r="O27" s="18" t="b">
        <f>FALSE()</f>
        <v>0</v>
      </c>
      <c r="P27" s="29">
        <f t="shared" si="5"/>
        <v>4.3010752688172046E-2</v>
      </c>
      <c r="Q27" s="19" t="b">
        <f>TRUE()</f>
        <v>1</v>
      </c>
      <c r="R27" s="17" t="str">
        <f t="shared" si="6"/>
        <v/>
      </c>
      <c r="S27" s="18" t="b">
        <f>FALSE()</f>
        <v>0</v>
      </c>
      <c r="T27" s="19" t="str">
        <f t="shared" si="7"/>
        <v/>
      </c>
      <c r="U27" s="18" t="b">
        <f>FALSE()</f>
        <v>0</v>
      </c>
      <c r="V27" s="19"/>
      <c r="W27" s="18" t="b">
        <f>FALSE()</f>
        <v>0</v>
      </c>
      <c r="X27" s="19"/>
      <c r="Y27" s="18" t="b">
        <f>FALSE()</f>
        <v>0</v>
      </c>
    </row>
    <row r="28" spans="1:35" ht="14" x14ac:dyDescent="0.3">
      <c r="A28" s="10">
        <v>24</v>
      </c>
      <c r="B28" s="35" t="s">
        <v>59</v>
      </c>
      <c r="C28" s="35" t="s">
        <v>60</v>
      </c>
      <c r="D28" s="85">
        <v>46078</v>
      </c>
      <c r="E28" s="85">
        <v>46096</v>
      </c>
      <c r="F28" s="10">
        <f t="shared" si="0"/>
        <v>19</v>
      </c>
      <c r="G28" s="10">
        <v>450</v>
      </c>
      <c r="H28" s="21">
        <v>810</v>
      </c>
      <c r="I28" s="16">
        <f t="shared" si="1"/>
        <v>9.4736842105263161E-2</v>
      </c>
      <c r="J28" s="23">
        <f t="shared" si="2"/>
        <v>9.4736842105263161E-2</v>
      </c>
      <c r="K28" s="24" t="b">
        <f>TRUE()</f>
        <v>1</v>
      </c>
      <c r="L28" s="26" t="str">
        <f t="shared" si="3"/>
        <v/>
      </c>
      <c r="M28" s="26" t="b">
        <f>FALSE()</f>
        <v>0</v>
      </c>
      <c r="N28" s="30" t="str">
        <f t="shared" si="4"/>
        <v/>
      </c>
      <c r="O28" s="24" t="b">
        <f>FALSE()</f>
        <v>0</v>
      </c>
      <c r="P28" s="26" t="str">
        <f t="shared" si="5"/>
        <v/>
      </c>
      <c r="Q28" s="26" t="b">
        <f>FALSE()</f>
        <v>0</v>
      </c>
      <c r="R28" s="30" t="str">
        <f t="shared" si="6"/>
        <v/>
      </c>
      <c r="S28" s="24" t="b">
        <f>FALSE()</f>
        <v>0</v>
      </c>
      <c r="T28" s="26" t="str">
        <f t="shared" si="7"/>
        <v/>
      </c>
      <c r="U28" s="24" t="b">
        <f>FALSE()</f>
        <v>0</v>
      </c>
      <c r="V28" s="26"/>
      <c r="W28" s="24" t="b">
        <f>FALSE()</f>
        <v>0</v>
      </c>
      <c r="X28" s="26"/>
      <c r="Y28" s="24" t="b">
        <f>FALSE()</f>
        <v>0</v>
      </c>
    </row>
    <row r="29" spans="1:35" ht="14" x14ac:dyDescent="0.3">
      <c r="A29" s="10">
        <v>25</v>
      </c>
      <c r="B29" s="42" t="s">
        <v>61</v>
      </c>
      <c r="C29" s="42" t="s">
        <v>20</v>
      </c>
      <c r="D29" s="87">
        <v>46079</v>
      </c>
      <c r="E29" s="85">
        <v>46137</v>
      </c>
      <c r="F29" s="10">
        <f t="shared" si="0"/>
        <v>59</v>
      </c>
      <c r="G29" s="10">
        <v>300</v>
      </c>
      <c r="H29" s="21">
        <v>1760</v>
      </c>
      <c r="I29" s="16">
        <f t="shared" si="1"/>
        <v>9.9435028248587576E-2</v>
      </c>
      <c r="J29" s="17" t="str">
        <f t="shared" si="2"/>
        <v/>
      </c>
      <c r="K29" s="18" t="b">
        <f>FALSE()</f>
        <v>0</v>
      </c>
      <c r="L29" s="19" t="str">
        <f t="shared" si="3"/>
        <v/>
      </c>
      <c r="M29" s="19" t="b">
        <f>FALSE()</f>
        <v>0</v>
      </c>
      <c r="N29" s="17" t="str">
        <f t="shared" si="4"/>
        <v/>
      </c>
      <c r="O29" s="18" t="b">
        <f>FALSE()</f>
        <v>0</v>
      </c>
      <c r="P29" s="29">
        <f t="shared" si="5"/>
        <v>9.9435028248587576E-2</v>
      </c>
      <c r="Q29" s="19" t="b">
        <f>TRUE()</f>
        <v>1</v>
      </c>
      <c r="R29" s="17" t="str">
        <f t="shared" si="6"/>
        <v/>
      </c>
      <c r="S29" s="18" t="b">
        <f>FALSE()</f>
        <v>0</v>
      </c>
      <c r="T29" s="19" t="str">
        <f t="shared" si="7"/>
        <v/>
      </c>
      <c r="U29" s="18" t="b">
        <f>FALSE()</f>
        <v>0</v>
      </c>
      <c r="V29" s="19"/>
      <c r="W29" s="18" t="b">
        <f>FALSE()</f>
        <v>0</v>
      </c>
      <c r="X29" s="19"/>
      <c r="Y29" s="18" t="b">
        <f>FALSE()</f>
        <v>0</v>
      </c>
      <c r="Z29" s="45"/>
      <c r="AA29" s="45"/>
      <c r="AB29" s="45"/>
      <c r="AC29" s="45"/>
      <c r="AD29" s="45"/>
      <c r="AE29" s="45"/>
      <c r="AF29" s="45"/>
      <c r="AG29" s="45"/>
      <c r="AH29" s="45"/>
      <c r="AI29" s="45"/>
    </row>
    <row r="30" spans="1:35" ht="14" x14ac:dyDescent="0.3">
      <c r="A30" s="32">
        <v>26</v>
      </c>
      <c r="B30" s="46" t="s">
        <v>62</v>
      </c>
      <c r="C30" s="46" t="s">
        <v>63</v>
      </c>
      <c r="D30" s="88">
        <v>46080</v>
      </c>
      <c r="E30" s="85">
        <v>46101</v>
      </c>
      <c r="F30" s="48">
        <f t="shared" si="0"/>
        <v>22</v>
      </c>
      <c r="G30" s="10">
        <v>1800</v>
      </c>
      <c r="H30" s="21">
        <v>0</v>
      </c>
      <c r="I30" s="16">
        <f t="shared" si="1"/>
        <v>0</v>
      </c>
      <c r="J30" s="23">
        <f t="shared" si="2"/>
        <v>0</v>
      </c>
      <c r="K30" s="24" t="b">
        <f>TRUE()</f>
        <v>1</v>
      </c>
      <c r="L30" s="25">
        <f t="shared" si="3"/>
        <v>0</v>
      </c>
      <c r="M30" s="26" t="b">
        <f>TRUE()</f>
        <v>1</v>
      </c>
      <c r="N30" s="23">
        <f t="shared" si="4"/>
        <v>0</v>
      </c>
      <c r="O30" s="24" t="b">
        <f>TRUE()</f>
        <v>1</v>
      </c>
      <c r="P30" s="25">
        <f t="shared" si="5"/>
        <v>0</v>
      </c>
      <c r="Q30" s="26" t="b">
        <f>TRUE()</f>
        <v>1</v>
      </c>
      <c r="R30" s="23">
        <f t="shared" si="6"/>
        <v>0</v>
      </c>
      <c r="S30" s="24" t="b">
        <f>TRUE()</f>
        <v>1</v>
      </c>
      <c r="T30" s="25">
        <f t="shared" si="7"/>
        <v>0</v>
      </c>
      <c r="U30" s="24" t="b">
        <f>TRUE()</f>
        <v>1</v>
      </c>
      <c r="V30" s="26"/>
      <c r="W30" s="24" t="b">
        <f>FALSE()</f>
        <v>0</v>
      </c>
      <c r="X30" s="26"/>
      <c r="Y30" s="24" t="b">
        <f>FALSE()</f>
        <v>0</v>
      </c>
      <c r="Z30" s="45"/>
      <c r="AA30" s="45"/>
      <c r="AB30" s="45"/>
      <c r="AC30" s="45"/>
      <c r="AD30" s="45"/>
      <c r="AE30" s="45"/>
      <c r="AF30" s="45"/>
      <c r="AG30" s="45"/>
      <c r="AH30" s="45"/>
      <c r="AI30" s="45"/>
    </row>
    <row r="31" spans="1:35" ht="14" x14ac:dyDescent="0.3">
      <c r="A31" s="10">
        <v>27</v>
      </c>
      <c r="B31" s="35" t="s">
        <v>27</v>
      </c>
      <c r="C31" s="35" t="s">
        <v>64</v>
      </c>
      <c r="D31" s="85">
        <v>46082</v>
      </c>
      <c r="E31" s="85">
        <v>46173</v>
      </c>
      <c r="F31" s="10">
        <f t="shared" si="0"/>
        <v>92</v>
      </c>
      <c r="G31" s="10">
        <v>600</v>
      </c>
      <c r="H31" s="21">
        <v>4320</v>
      </c>
      <c r="I31" s="16">
        <f t="shared" si="1"/>
        <v>7.8260869565217397E-2</v>
      </c>
      <c r="J31" s="17" t="str">
        <f t="shared" si="2"/>
        <v/>
      </c>
      <c r="K31" s="18" t="b">
        <f>FALSE()</f>
        <v>0</v>
      </c>
      <c r="L31" s="19" t="str">
        <f t="shared" si="3"/>
        <v/>
      </c>
      <c r="M31" s="19" t="b">
        <f>FALSE()</f>
        <v>0</v>
      </c>
      <c r="N31" s="17" t="str">
        <f t="shared" si="4"/>
        <v/>
      </c>
      <c r="O31" s="18" t="b">
        <f>FALSE()</f>
        <v>0</v>
      </c>
      <c r="P31" s="29">
        <f t="shared" si="5"/>
        <v>7.8260869565217397E-2</v>
      </c>
      <c r="Q31" s="19" t="b">
        <f>TRUE()</f>
        <v>1</v>
      </c>
      <c r="R31" s="17" t="str">
        <f t="shared" si="6"/>
        <v/>
      </c>
      <c r="S31" s="18" t="b">
        <f>FALSE()</f>
        <v>0</v>
      </c>
      <c r="T31" s="19" t="str">
        <f t="shared" si="7"/>
        <v/>
      </c>
      <c r="U31" s="18" t="b">
        <f>FALSE()</f>
        <v>0</v>
      </c>
      <c r="V31" s="19"/>
      <c r="W31" s="18" t="b">
        <f>FALSE()</f>
        <v>0</v>
      </c>
      <c r="X31" s="19"/>
      <c r="Y31" s="18" t="b">
        <f>FALSE()</f>
        <v>0</v>
      </c>
    </row>
    <row r="32" spans="1:35" ht="14" x14ac:dyDescent="0.3">
      <c r="A32" s="10">
        <v>28</v>
      </c>
      <c r="B32" s="42" t="s">
        <v>39</v>
      </c>
      <c r="C32" s="42" t="s">
        <v>52</v>
      </c>
      <c r="D32" s="87">
        <v>46082</v>
      </c>
      <c r="E32" s="85">
        <v>46112</v>
      </c>
      <c r="F32" s="10">
        <f t="shared" si="0"/>
        <v>31</v>
      </c>
      <c r="G32" s="10">
        <v>600</v>
      </c>
      <c r="H32" s="21">
        <v>1350</v>
      </c>
      <c r="I32" s="16">
        <f t="shared" si="1"/>
        <v>7.2580645161290328E-2</v>
      </c>
      <c r="J32" s="30" t="str">
        <f t="shared" si="2"/>
        <v/>
      </c>
      <c r="K32" s="24" t="b">
        <f>FALSE()</f>
        <v>0</v>
      </c>
      <c r="L32" s="26" t="str">
        <f t="shared" si="3"/>
        <v/>
      </c>
      <c r="M32" s="26" t="b">
        <f>FALSE()</f>
        <v>0</v>
      </c>
      <c r="N32" s="30" t="str">
        <f t="shared" si="4"/>
        <v/>
      </c>
      <c r="O32" s="24" t="b">
        <f>FALSE()</f>
        <v>0</v>
      </c>
      <c r="P32" s="25">
        <f t="shared" si="5"/>
        <v>7.2580645161290328E-2</v>
      </c>
      <c r="Q32" s="26" t="b">
        <f>TRUE()</f>
        <v>1</v>
      </c>
      <c r="R32" s="30" t="str">
        <f t="shared" si="6"/>
        <v/>
      </c>
      <c r="S32" s="24" t="b">
        <f>FALSE()</f>
        <v>0</v>
      </c>
      <c r="T32" s="25">
        <f t="shared" si="7"/>
        <v>7.2580645161290328E-2</v>
      </c>
      <c r="U32" s="24" t="b">
        <f>TRUE()</f>
        <v>1</v>
      </c>
      <c r="V32" s="26"/>
      <c r="W32" s="24" t="b">
        <f>FALSE()</f>
        <v>0</v>
      </c>
      <c r="X32" s="26"/>
      <c r="Y32" s="24" t="b">
        <f>FALSE()</f>
        <v>0</v>
      </c>
    </row>
    <row r="33" spans="1:25" ht="14" x14ac:dyDescent="0.3">
      <c r="A33" s="10">
        <v>29</v>
      </c>
      <c r="B33" s="35" t="s">
        <v>65</v>
      </c>
      <c r="C33" s="35" t="s">
        <v>20</v>
      </c>
      <c r="D33" s="85">
        <v>46087</v>
      </c>
      <c r="E33" s="85">
        <v>46117</v>
      </c>
      <c r="F33" s="10">
        <f t="shared" si="0"/>
        <v>31</v>
      </c>
      <c r="G33" s="10">
        <v>300</v>
      </c>
      <c r="H33" s="21">
        <v>720</v>
      </c>
      <c r="I33" s="16">
        <f t="shared" si="1"/>
        <v>7.7419354838709681E-2</v>
      </c>
      <c r="J33" s="17" t="str">
        <f t="shared" si="2"/>
        <v/>
      </c>
      <c r="K33" s="18" t="b">
        <f>FALSE()</f>
        <v>0</v>
      </c>
      <c r="L33" s="19" t="str">
        <f t="shared" si="3"/>
        <v/>
      </c>
      <c r="M33" s="19" t="b">
        <f>FALSE()</f>
        <v>0</v>
      </c>
      <c r="N33" s="17" t="str">
        <f t="shared" si="4"/>
        <v/>
      </c>
      <c r="O33" s="18" t="b">
        <f>FALSE()</f>
        <v>0</v>
      </c>
      <c r="P33" s="29">
        <f t="shared" si="5"/>
        <v>7.7419354838709681E-2</v>
      </c>
      <c r="Q33" s="19" t="b">
        <f>TRUE()</f>
        <v>1</v>
      </c>
      <c r="R33" s="17" t="str">
        <f t="shared" si="6"/>
        <v/>
      </c>
      <c r="S33" s="18" t="b">
        <f>FALSE()</f>
        <v>0</v>
      </c>
      <c r="T33" s="19" t="str">
        <f t="shared" si="7"/>
        <v/>
      </c>
      <c r="U33" s="18" t="b">
        <f>FALSE()</f>
        <v>0</v>
      </c>
      <c r="V33" s="19"/>
      <c r="W33" s="18" t="b">
        <f>FALSE()</f>
        <v>0</v>
      </c>
      <c r="X33" s="19"/>
      <c r="Y33" s="18" t="b">
        <f>FALSE()</f>
        <v>0</v>
      </c>
    </row>
    <row r="34" spans="1:25" ht="14" x14ac:dyDescent="0.3">
      <c r="A34" s="10">
        <v>30</v>
      </c>
      <c r="B34" s="42" t="s">
        <v>66</v>
      </c>
      <c r="C34" s="42" t="s">
        <v>67</v>
      </c>
      <c r="D34" s="87">
        <v>46082</v>
      </c>
      <c r="E34" s="85">
        <v>46112</v>
      </c>
      <c r="F34" s="10">
        <f t="shared" si="0"/>
        <v>31</v>
      </c>
      <c r="G34" s="10">
        <v>450</v>
      </c>
      <c r="H34" s="21">
        <v>500</v>
      </c>
      <c r="I34" s="16">
        <f t="shared" si="1"/>
        <v>3.5842293906810034E-2</v>
      </c>
      <c r="J34" s="30" t="str">
        <f t="shared" si="2"/>
        <v/>
      </c>
      <c r="K34" s="24" t="b">
        <f>FALSE()</f>
        <v>0</v>
      </c>
      <c r="L34" s="26" t="str">
        <f t="shared" si="3"/>
        <v/>
      </c>
      <c r="M34" s="26" t="b">
        <f>FALSE()</f>
        <v>0</v>
      </c>
      <c r="N34" s="23">
        <f t="shared" si="4"/>
        <v>3.5842293906810034E-2</v>
      </c>
      <c r="O34" s="24" t="b">
        <f>TRUE()</f>
        <v>1</v>
      </c>
      <c r="P34" s="26" t="str">
        <f t="shared" si="5"/>
        <v/>
      </c>
      <c r="Q34" s="26" t="b">
        <f>FALSE()</f>
        <v>0</v>
      </c>
      <c r="R34" s="30" t="str">
        <f t="shared" si="6"/>
        <v/>
      </c>
      <c r="S34" s="24" t="b">
        <f>FALSE()</f>
        <v>0</v>
      </c>
      <c r="T34" s="26" t="str">
        <f t="shared" si="7"/>
        <v/>
      </c>
      <c r="U34" s="24" t="b">
        <f>FALSE()</f>
        <v>0</v>
      </c>
      <c r="V34" s="26"/>
      <c r="W34" s="24" t="b">
        <f>FALSE()</f>
        <v>0</v>
      </c>
      <c r="X34" s="26"/>
      <c r="Y34" s="24" t="b">
        <f>FALSE()</f>
        <v>0</v>
      </c>
    </row>
    <row r="35" spans="1:25" ht="14" x14ac:dyDescent="0.3">
      <c r="A35" s="10">
        <v>31</v>
      </c>
      <c r="B35" s="35" t="s">
        <v>68</v>
      </c>
      <c r="C35" s="35" t="s">
        <v>43</v>
      </c>
      <c r="D35" s="85">
        <v>46086</v>
      </c>
      <c r="E35" s="85">
        <v>46116</v>
      </c>
      <c r="F35" s="10">
        <f t="shared" si="0"/>
        <v>31</v>
      </c>
      <c r="G35" s="10">
        <v>300</v>
      </c>
      <c r="H35" s="15"/>
      <c r="I35" s="16">
        <f t="shared" si="1"/>
        <v>0</v>
      </c>
      <c r="J35" s="17" t="str">
        <f t="shared" si="2"/>
        <v/>
      </c>
      <c r="K35" s="18" t="b">
        <f>FALSE()</f>
        <v>0</v>
      </c>
      <c r="L35" s="19" t="str">
        <f t="shared" si="3"/>
        <v/>
      </c>
      <c r="M35" s="19" t="b">
        <f>FALSE()</f>
        <v>0</v>
      </c>
      <c r="N35" s="31">
        <f t="shared" si="4"/>
        <v>0</v>
      </c>
      <c r="O35" s="18" t="b">
        <f>TRUE()</f>
        <v>1</v>
      </c>
      <c r="P35" s="19" t="str">
        <f t="shared" si="5"/>
        <v/>
      </c>
      <c r="Q35" s="19" t="b">
        <f>FALSE()</f>
        <v>0</v>
      </c>
      <c r="R35" s="17" t="str">
        <f t="shared" si="6"/>
        <v/>
      </c>
      <c r="S35" s="18" t="b">
        <f>FALSE()</f>
        <v>0</v>
      </c>
      <c r="T35" s="29">
        <f t="shared" si="7"/>
        <v>0</v>
      </c>
      <c r="U35" s="18" t="b">
        <f>TRUE()</f>
        <v>1</v>
      </c>
      <c r="V35" s="19"/>
      <c r="W35" s="18" t="b">
        <f>FALSE()</f>
        <v>0</v>
      </c>
      <c r="X35" s="19"/>
      <c r="Y35" s="18" t="b">
        <f>FALSE()</f>
        <v>0</v>
      </c>
    </row>
    <row r="36" spans="1:25" ht="14" x14ac:dyDescent="0.3">
      <c r="A36" s="10">
        <v>32</v>
      </c>
      <c r="B36" s="42" t="s">
        <v>37</v>
      </c>
      <c r="C36" s="42" t="s">
        <v>69</v>
      </c>
      <c r="D36" s="87">
        <v>46086</v>
      </c>
      <c r="E36" s="85">
        <v>46109</v>
      </c>
      <c r="F36" s="10">
        <f t="shared" si="0"/>
        <v>24</v>
      </c>
      <c r="G36" s="32"/>
      <c r="H36" s="15"/>
      <c r="I36" s="16" t="str">
        <f t="shared" si="1"/>
        <v/>
      </c>
      <c r="J36" s="23" t="str">
        <f t="shared" si="2"/>
        <v/>
      </c>
      <c r="K36" s="24" t="b">
        <f>TRUE()</f>
        <v>1</v>
      </c>
      <c r="L36" s="26" t="str">
        <f t="shared" si="3"/>
        <v/>
      </c>
      <c r="M36" s="26" t="b">
        <f>FALSE()</f>
        <v>0</v>
      </c>
      <c r="N36" s="30" t="str">
        <f t="shared" si="4"/>
        <v/>
      </c>
      <c r="O36" s="24" t="b">
        <f>FALSE()</f>
        <v>0</v>
      </c>
      <c r="P36" s="26" t="str">
        <f t="shared" si="5"/>
        <v/>
      </c>
      <c r="Q36" s="26" t="b">
        <f>FALSE()</f>
        <v>0</v>
      </c>
      <c r="R36" s="30" t="str">
        <f t="shared" si="6"/>
        <v/>
      </c>
      <c r="S36" s="24" t="b">
        <f>FALSE()</f>
        <v>0</v>
      </c>
      <c r="T36" s="26" t="str">
        <f t="shared" si="7"/>
        <v/>
      </c>
      <c r="U36" s="24" t="b">
        <f>FALSE()</f>
        <v>0</v>
      </c>
      <c r="V36" s="26"/>
      <c r="W36" s="24" t="b">
        <f>FALSE()</f>
        <v>0</v>
      </c>
      <c r="X36" s="26"/>
      <c r="Y36" s="24" t="b">
        <f>FALSE()</f>
        <v>0</v>
      </c>
    </row>
    <row r="37" spans="1:25" ht="14" x14ac:dyDescent="0.3">
      <c r="A37" s="10">
        <v>33</v>
      </c>
      <c r="B37" s="35" t="s">
        <v>70</v>
      </c>
      <c r="C37" s="35" t="s">
        <v>71</v>
      </c>
      <c r="D37" s="85">
        <v>46087</v>
      </c>
      <c r="E37" s="85">
        <v>46117</v>
      </c>
      <c r="F37" s="10">
        <f t="shared" si="0"/>
        <v>31</v>
      </c>
      <c r="G37" s="10">
        <v>900</v>
      </c>
      <c r="H37" s="15"/>
      <c r="I37" s="16">
        <f t="shared" ref="I37:I68" si="8">IFERROR(H37/(F37*G37),"")</f>
        <v>0</v>
      </c>
      <c r="J37" s="17" t="str">
        <f t="shared" si="2"/>
        <v/>
      </c>
      <c r="K37" s="18" t="b">
        <f>FALSE()</f>
        <v>0</v>
      </c>
      <c r="L37" s="29">
        <f t="shared" si="3"/>
        <v>0</v>
      </c>
      <c r="M37" s="19" t="b">
        <f>TRUE()</f>
        <v>1</v>
      </c>
      <c r="N37" s="17" t="str">
        <f t="shared" si="4"/>
        <v/>
      </c>
      <c r="O37" s="18" t="b">
        <f>FALSE()</f>
        <v>0</v>
      </c>
      <c r="P37" s="19" t="str">
        <f t="shared" si="5"/>
        <v/>
      </c>
      <c r="Q37" s="19" t="b">
        <f>FALSE()</f>
        <v>0</v>
      </c>
      <c r="R37" s="17" t="str">
        <f t="shared" si="6"/>
        <v/>
      </c>
      <c r="S37" s="18" t="b">
        <f>FALSE()</f>
        <v>0</v>
      </c>
      <c r="T37" s="29">
        <f t="shared" ref="T37:T68" si="9">IF(U37=TRUE(),$I37,"")</f>
        <v>0</v>
      </c>
      <c r="U37" s="18" t="b">
        <f>TRUE()</f>
        <v>1</v>
      </c>
      <c r="V37" s="19"/>
      <c r="W37" s="18" t="b">
        <f>FALSE()</f>
        <v>0</v>
      </c>
      <c r="X37" s="19"/>
      <c r="Y37" s="18" t="b">
        <f>FALSE()</f>
        <v>0</v>
      </c>
    </row>
    <row r="38" spans="1:25" ht="14" x14ac:dyDescent="0.3">
      <c r="A38" s="10">
        <v>34</v>
      </c>
      <c r="B38" s="42" t="s">
        <v>72</v>
      </c>
      <c r="C38" s="42" t="s">
        <v>73</v>
      </c>
      <c r="D38" s="87">
        <v>46082</v>
      </c>
      <c r="E38" s="85">
        <v>46112</v>
      </c>
      <c r="F38" s="10">
        <f t="shared" si="0"/>
        <v>31</v>
      </c>
      <c r="G38" s="10">
        <v>300</v>
      </c>
      <c r="H38" s="21">
        <v>550</v>
      </c>
      <c r="I38" s="16">
        <f t="shared" si="8"/>
        <v>5.9139784946236562E-2</v>
      </c>
      <c r="J38" s="23">
        <f t="shared" si="2"/>
        <v>5.9139784946236562E-2</v>
      </c>
      <c r="K38" s="24" t="b">
        <f>TRUE()</f>
        <v>1</v>
      </c>
      <c r="L38" s="26" t="str">
        <f t="shared" si="3"/>
        <v/>
      </c>
      <c r="M38" s="26" t="b">
        <f>FALSE()</f>
        <v>0</v>
      </c>
      <c r="N38" s="30" t="str">
        <f t="shared" si="4"/>
        <v/>
      </c>
      <c r="O38" s="24" t="b">
        <f>FALSE()</f>
        <v>0</v>
      </c>
      <c r="P38" s="26" t="str">
        <f t="shared" si="5"/>
        <v/>
      </c>
      <c r="Q38" s="26" t="b">
        <f>FALSE()</f>
        <v>0</v>
      </c>
      <c r="R38" s="30" t="str">
        <f t="shared" si="6"/>
        <v/>
      </c>
      <c r="S38" s="24" t="b">
        <f>FALSE()</f>
        <v>0</v>
      </c>
      <c r="T38" s="26" t="str">
        <f t="shared" si="9"/>
        <v/>
      </c>
      <c r="U38" s="24" t="b">
        <f>FALSE()</f>
        <v>0</v>
      </c>
      <c r="V38" s="26"/>
      <c r="W38" s="24" t="b">
        <f>FALSE()</f>
        <v>0</v>
      </c>
      <c r="X38" s="26"/>
      <c r="Y38" s="24" t="b">
        <f>FALSE()</f>
        <v>0</v>
      </c>
    </row>
    <row r="39" spans="1:25" ht="14" x14ac:dyDescent="0.3">
      <c r="A39" s="10">
        <v>35</v>
      </c>
      <c r="B39" s="35" t="s">
        <v>33</v>
      </c>
      <c r="C39" s="35" t="s">
        <v>34</v>
      </c>
      <c r="D39" s="85">
        <v>46082</v>
      </c>
      <c r="E39" s="85">
        <v>46112</v>
      </c>
      <c r="F39" s="10">
        <f t="shared" si="0"/>
        <v>31</v>
      </c>
      <c r="G39" s="10">
        <v>600</v>
      </c>
      <c r="H39" s="21">
        <v>1100</v>
      </c>
      <c r="I39" s="16">
        <f t="shared" si="8"/>
        <v>5.9139784946236562E-2</v>
      </c>
      <c r="J39" s="17" t="str">
        <f t="shared" si="2"/>
        <v/>
      </c>
      <c r="K39" s="18" t="b">
        <f>FALSE()</f>
        <v>0</v>
      </c>
      <c r="L39" s="19" t="str">
        <f t="shared" si="3"/>
        <v/>
      </c>
      <c r="M39" s="19" t="b">
        <f>FALSE()</f>
        <v>0</v>
      </c>
      <c r="N39" s="17" t="str">
        <f t="shared" si="4"/>
        <v/>
      </c>
      <c r="O39" s="18" t="b">
        <f>FALSE()</f>
        <v>0</v>
      </c>
      <c r="P39" s="29">
        <f t="shared" si="5"/>
        <v>5.9139784946236562E-2</v>
      </c>
      <c r="Q39" s="19" t="b">
        <f>TRUE()</f>
        <v>1</v>
      </c>
      <c r="R39" s="31">
        <f t="shared" si="6"/>
        <v>5.9139784946236562E-2</v>
      </c>
      <c r="S39" s="18" t="b">
        <f>TRUE()</f>
        <v>1</v>
      </c>
      <c r="T39" s="19" t="str">
        <f t="shared" si="9"/>
        <v/>
      </c>
      <c r="U39" s="18" t="b">
        <f>FALSE()</f>
        <v>0</v>
      </c>
      <c r="V39" s="19"/>
      <c r="W39" s="18" t="b">
        <f>FALSE()</f>
        <v>0</v>
      </c>
      <c r="X39" s="19"/>
      <c r="Y39" s="18" t="b">
        <f>FALSE()</f>
        <v>0</v>
      </c>
    </row>
    <row r="40" spans="1:25" ht="14" x14ac:dyDescent="0.3">
      <c r="A40" s="32">
        <v>36</v>
      </c>
      <c r="B40" s="35" t="s">
        <v>74</v>
      </c>
      <c r="C40" s="35" t="s">
        <v>75</v>
      </c>
      <c r="D40" s="85">
        <v>46087</v>
      </c>
      <c r="E40" s="85">
        <v>46092</v>
      </c>
      <c r="F40" s="10">
        <f t="shared" si="0"/>
        <v>6</v>
      </c>
      <c r="G40" s="32"/>
      <c r="H40" s="15"/>
      <c r="I40" s="16" t="str">
        <f t="shared" si="8"/>
        <v/>
      </c>
      <c r="J40" s="30" t="str">
        <f t="shared" si="2"/>
        <v/>
      </c>
      <c r="K40" s="24" t="b">
        <f>FALSE()</f>
        <v>0</v>
      </c>
      <c r="L40" s="26" t="str">
        <f t="shared" si="3"/>
        <v/>
      </c>
      <c r="M40" s="26" t="b">
        <f>FALSE()</f>
        <v>0</v>
      </c>
      <c r="N40" s="30" t="str">
        <f t="shared" si="4"/>
        <v/>
      </c>
      <c r="O40" s="24" t="b">
        <f>FALSE()</f>
        <v>0</v>
      </c>
      <c r="P40" s="26" t="str">
        <f t="shared" si="5"/>
        <v/>
      </c>
      <c r="Q40" s="26" t="b">
        <f>FALSE()</f>
        <v>0</v>
      </c>
      <c r="R40" s="30" t="str">
        <f t="shared" si="6"/>
        <v/>
      </c>
      <c r="S40" s="24" t="b">
        <f>FALSE()</f>
        <v>0</v>
      </c>
      <c r="T40" s="26" t="str">
        <f t="shared" si="9"/>
        <v/>
      </c>
      <c r="U40" s="24" t="b">
        <f>FALSE()</f>
        <v>0</v>
      </c>
      <c r="V40" s="26"/>
      <c r="W40" s="24" t="b">
        <f>FALSE()</f>
        <v>0</v>
      </c>
      <c r="X40" s="26"/>
      <c r="Y40" s="24" t="b">
        <f>FALSE()</f>
        <v>0</v>
      </c>
    </row>
    <row r="41" spans="1:25" ht="14" x14ac:dyDescent="0.3">
      <c r="A41" s="10">
        <v>37</v>
      </c>
      <c r="B41" s="35" t="s">
        <v>76</v>
      </c>
      <c r="C41" s="35" t="s">
        <v>57</v>
      </c>
      <c r="D41" s="85">
        <v>46086</v>
      </c>
      <c r="E41" s="85">
        <v>46116</v>
      </c>
      <c r="F41" s="10">
        <f t="shared" si="0"/>
        <v>31</v>
      </c>
      <c r="G41" s="10">
        <v>450</v>
      </c>
      <c r="H41" s="21">
        <v>810</v>
      </c>
      <c r="I41" s="16">
        <f t="shared" si="8"/>
        <v>5.8064516129032261E-2</v>
      </c>
      <c r="J41" s="17" t="str">
        <f t="shared" si="2"/>
        <v/>
      </c>
      <c r="K41" s="18" t="b">
        <f>FALSE()</f>
        <v>0</v>
      </c>
      <c r="L41" s="19" t="str">
        <f t="shared" si="3"/>
        <v/>
      </c>
      <c r="M41" s="19" t="b">
        <f>FALSE()</f>
        <v>0</v>
      </c>
      <c r="N41" s="31">
        <f t="shared" si="4"/>
        <v>5.8064516129032261E-2</v>
      </c>
      <c r="O41" s="18" t="b">
        <f>TRUE()</f>
        <v>1</v>
      </c>
      <c r="P41" s="19" t="str">
        <f t="shared" si="5"/>
        <v/>
      </c>
      <c r="Q41" s="19" t="b">
        <f>FALSE()</f>
        <v>0</v>
      </c>
      <c r="R41" s="17" t="str">
        <f t="shared" si="6"/>
        <v/>
      </c>
      <c r="S41" s="18" t="b">
        <f>FALSE()</f>
        <v>0</v>
      </c>
      <c r="T41" s="19" t="str">
        <f t="shared" si="9"/>
        <v/>
      </c>
      <c r="U41" s="18" t="b">
        <f>FALSE()</f>
        <v>0</v>
      </c>
      <c r="V41" s="19"/>
      <c r="W41" s="18" t="b">
        <f>FALSE()</f>
        <v>0</v>
      </c>
      <c r="X41" s="19"/>
      <c r="Y41" s="18" t="b">
        <f>FALSE()</f>
        <v>0</v>
      </c>
    </row>
    <row r="42" spans="1:25" ht="14" x14ac:dyDescent="0.3">
      <c r="A42" s="10">
        <v>38</v>
      </c>
      <c r="B42" s="35" t="s">
        <v>77</v>
      </c>
      <c r="C42" s="35" t="s">
        <v>78</v>
      </c>
      <c r="D42" s="85">
        <v>46091</v>
      </c>
      <c r="E42" s="85">
        <v>46094</v>
      </c>
      <c r="F42" s="10">
        <f t="shared" si="0"/>
        <v>4</v>
      </c>
      <c r="G42" s="10">
        <v>1350</v>
      </c>
      <c r="H42" s="21">
        <v>630</v>
      </c>
      <c r="I42" s="16">
        <f t="shared" si="8"/>
        <v>0.11666666666666667</v>
      </c>
      <c r="J42" s="30" t="str">
        <f t="shared" si="2"/>
        <v/>
      </c>
      <c r="K42" s="24" t="b">
        <f>FALSE()</f>
        <v>0</v>
      </c>
      <c r="L42" s="26" t="str">
        <f t="shared" si="3"/>
        <v/>
      </c>
      <c r="M42" s="26" t="b">
        <f>FALSE()</f>
        <v>0</v>
      </c>
      <c r="N42" s="23">
        <f t="shared" si="4"/>
        <v>0.11666666666666667</v>
      </c>
      <c r="O42" s="24" t="b">
        <f>TRUE()</f>
        <v>1</v>
      </c>
      <c r="P42" s="25">
        <f t="shared" si="5"/>
        <v>0.11666666666666667</v>
      </c>
      <c r="Q42" s="26" t="b">
        <f>TRUE()</f>
        <v>1</v>
      </c>
      <c r="R42" s="30" t="str">
        <f t="shared" si="6"/>
        <v/>
      </c>
      <c r="S42" s="24" t="b">
        <f>FALSE()</f>
        <v>0</v>
      </c>
      <c r="T42" s="25">
        <f t="shared" si="9"/>
        <v>0.11666666666666667</v>
      </c>
      <c r="U42" s="24" t="b">
        <f>TRUE()</f>
        <v>1</v>
      </c>
      <c r="V42" s="26"/>
      <c r="W42" s="24" t="b">
        <f>FALSE()</f>
        <v>0</v>
      </c>
      <c r="X42" s="26"/>
      <c r="Y42" s="24" t="b">
        <f>FALSE()</f>
        <v>0</v>
      </c>
    </row>
    <row r="43" spans="1:25" ht="14" x14ac:dyDescent="0.3">
      <c r="A43" s="10">
        <v>39</v>
      </c>
      <c r="B43" s="35" t="s">
        <v>37</v>
      </c>
      <c r="C43" s="35" t="s">
        <v>79</v>
      </c>
      <c r="D43" s="85">
        <v>46095</v>
      </c>
      <c r="E43" s="85">
        <v>46112</v>
      </c>
      <c r="F43" s="10">
        <f t="shared" si="0"/>
        <v>18</v>
      </c>
      <c r="G43" s="10">
        <v>450</v>
      </c>
      <c r="H43" s="21">
        <v>450</v>
      </c>
      <c r="I43" s="16">
        <f t="shared" si="8"/>
        <v>5.5555555555555552E-2</v>
      </c>
      <c r="J43" s="17" t="str">
        <f t="shared" si="2"/>
        <v/>
      </c>
      <c r="K43" s="18" t="b">
        <f>FALSE()</f>
        <v>0</v>
      </c>
      <c r="L43" s="19" t="str">
        <f t="shared" si="3"/>
        <v/>
      </c>
      <c r="M43" s="19" t="b">
        <f>FALSE()</f>
        <v>0</v>
      </c>
      <c r="N43" s="17" t="str">
        <f t="shared" si="4"/>
        <v/>
      </c>
      <c r="O43" s="18" t="b">
        <f>FALSE()</f>
        <v>0</v>
      </c>
      <c r="P43" s="19" t="str">
        <f t="shared" si="5"/>
        <v/>
      </c>
      <c r="Q43" s="19" t="b">
        <f>FALSE()</f>
        <v>0</v>
      </c>
      <c r="R43" s="31">
        <f t="shared" si="6"/>
        <v>5.5555555555555552E-2</v>
      </c>
      <c r="S43" s="18" t="b">
        <f>TRUE()</f>
        <v>1</v>
      </c>
      <c r="T43" s="19" t="str">
        <f t="shared" si="9"/>
        <v/>
      </c>
      <c r="U43" s="18" t="b">
        <f>FALSE()</f>
        <v>0</v>
      </c>
      <c r="V43" s="19"/>
      <c r="W43" s="18" t="b">
        <f>FALSE()</f>
        <v>0</v>
      </c>
      <c r="X43" s="19"/>
      <c r="Y43" s="18" t="b">
        <f>FALSE()</f>
        <v>0</v>
      </c>
    </row>
    <row r="44" spans="1:25" ht="14" x14ac:dyDescent="0.3">
      <c r="A44" s="10">
        <v>40</v>
      </c>
      <c r="B44" s="42" t="s">
        <v>51</v>
      </c>
      <c r="C44" s="42" t="s">
        <v>43</v>
      </c>
      <c r="D44" s="87">
        <v>46099</v>
      </c>
      <c r="E44" s="85">
        <v>46130</v>
      </c>
      <c r="F44" s="10">
        <f t="shared" si="0"/>
        <v>32</v>
      </c>
      <c r="G44" s="10">
        <v>300</v>
      </c>
      <c r="H44" s="21">
        <v>550</v>
      </c>
      <c r="I44" s="16">
        <f t="shared" si="8"/>
        <v>5.7291666666666664E-2</v>
      </c>
      <c r="J44" s="30" t="str">
        <f t="shared" si="2"/>
        <v/>
      </c>
      <c r="K44" s="24" t="b">
        <f>FALSE()</f>
        <v>0</v>
      </c>
      <c r="L44" s="26" t="str">
        <f t="shared" si="3"/>
        <v/>
      </c>
      <c r="M44" s="26" t="b">
        <f>FALSE()</f>
        <v>0</v>
      </c>
      <c r="N44" s="30" t="str">
        <f t="shared" si="4"/>
        <v/>
      </c>
      <c r="O44" s="24" t="b">
        <f>FALSE()</f>
        <v>0</v>
      </c>
      <c r="P44" s="25">
        <f t="shared" si="5"/>
        <v>5.7291666666666664E-2</v>
      </c>
      <c r="Q44" s="26" t="b">
        <f>TRUE()</f>
        <v>1</v>
      </c>
      <c r="R44" s="30" t="str">
        <f t="shared" si="6"/>
        <v/>
      </c>
      <c r="S44" s="24" t="b">
        <f>FALSE()</f>
        <v>0</v>
      </c>
      <c r="T44" s="26" t="str">
        <f t="shared" si="9"/>
        <v/>
      </c>
      <c r="U44" s="24" t="b">
        <f>FALSE()</f>
        <v>0</v>
      </c>
      <c r="V44" s="26"/>
      <c r="W44" s="24" t="b">
        <f>FALSE()</f>
        <v>0</v>
      </c>
      <c r="X44" s="26"/>
      <c r="Y44" s="24" t="b">
        <f>FALSE()</f>
        <v>0</v>
      </c>
    </row>
    <row r="45" spans="1:25" ht="14" x14ac:dyDescent="0.3">
      <c r="A45" s="10">
        <v>41</v>
      </c>
      <c r="B45" s="35" t="s">
        <v>46</v>
      </c>
      <c r="C45" s="35" t="s">
        <v>20</v>
      </c>
      <c r="D45" s="85">
        <v>46096</v>
      </c>
      <c r="E45" s="85">
        <v>46126</v>
      </c>
      <c r="F45" s="10">
        <f t="shared" si="0"/>
        <v>31</v>
      </c>
      <c r="G45" s="10">
        <v>900</v>
      </c>
      <c r="H45" s="21">
        <v>1890</v>
      </c>
      <c r="I45" s="16">
        <f t="shared" si="8"/>
        <v>6.7741935483870974E-2</v>
      </c>
      <c r="J45" s="17" t="str">
        <f t="shared" si="2"/>
        <v/>
      </c>
      <c r="K45" s="18" t="b">
        <f>FALSE()</f>
        <v>0</v>
      </c>
      <c r="L45" s="19" t="str">
        <f t="shared" si="3"/>
        <v/>
      </c>
      <c r="M45" s="19" t="b">
        <f>FALSE()</f>
        <v>0</v>
      </c>
      <c r="N45" s="17" t="str">
        <f t="shared" si="4"/>
        <v/>
      </c>
      <c r="O45" s="18" t="b">
        <f>FALSE()</f>
        <v>0</v>
      </c>
      <c r="P45" s="29">
        <f t="shared" si="5"/>
        <v>6.7741935483870974E-2</v>
      </c>
      <c r="Q45" s="19" t="b">
        <f>TRUE()</f>
        <v>1</v>
      </c>
      <c r="R45" s="31">
        <f t="shared" si="6"/>
        <v>6.7741935483870974E-2</v>
      </c>
      <c r="S45" s="18" t="b">
        <f>TRUE()</f>
        <v>1</v>
      </c>
      <c r="T45" s="19" t="str">
        <f t="shared" si="9"/>
        <v/>
      </c>
      <c r="U45" s="18" t="b">
        <f>FALSE()</f>
        <v>0</v>
      </c>
      <c r="V45" s="19"/>
      <c r="W45" s="18" t="b">
        <f>FALSE()</f>
        <v>0</v>
      </c>
      <c r="X45" s="19"/>
      <c r="Y45" s="18" t="b">
        <f>FALSE()</f>
        <v>0</v>
      </c>
    </row>
    <row r="46" spans="1:25" ht="14" x14ac:dyDescent="0.3">
      <c r="A46" s="10">
        <v>42</v>
      </c>
      <c r="B46" s="49" t="s">
        <v>80</v>
      </c>
      <c r="C46" s="49" t="s">
        <v>81</v>
      </c>
      <c r="D46" s="89">
        <v>46092</v>
      </c>
      <c r="E46" s="85">
        <v>46113</v>
      </c>
      <c r="F46" s="10">
        <f t="shared" si="0"/>
        <v>22</v>
      </c>
      <c r="G46" s="10">
        <v>1200</v>
      </c>
      <c r="H46" s="21">
        <v>1283.3399999999999</v>
      </c>
      <c r="I46" s="16">
        <f t="shared" si="8"/>
        <v>4.8611363636363633E-2</v>
      </c>
      <c r="J46" s="30" t="str">
        <f t="shared" si="2"/>
        <v/>
      </c>
      <c r="K46" s="24" t="b">
        <f>FALSE()</f>
        <v>0</v>
      </c>
      <c r="L46" s="26" t="str">
        <f t="shared" si="3"/>
        <v/>
      </c>
      <c r="M46" s="26" t="b">
        <f>FALSE()</f>
        <v>0</v>
      </c>
      <c r="N46" s="30" t="str">
        <f t="shared" si="4"/>
        <v/>
      </c>
      <c r="O46" s="24" t="b">
        <f>FALSE()</f>
        <v>0</v>
      </c>
      <c r="P46" s="25">
        <f t="shared" si="5"/>
        <v>4.8611363636363633E-2</v>
      </c>
      <c r="Q46" s="26" t="b">
        <f>TRUE()</f>
        <v>1</v>
      </c>
      <c r="R46" s="23">
        <f t="shared" si="6"/>
        <v>4.8611363636363633E-2</v>
      </c>
      <c r="S46" s="24" t="b">
        <f>TRUE()</f>
        <v>1</v>
      </c>
      <c r="T46" s="26" t="str">
        <f t="shared" si="9"/>
        <v/>
      </c>
      <c r="U46" s="24" t="b">
        <f>FALSE()</f>
        <v>0</v>
      </c>
      <c r="V46" s="26"/>
      <c r="W46" s="24" t="b">
        <f>FALSE()</f>
        <v>0</v>
      </c>
      <c r="X46" s="26"/>
      <c r="Y46" s="24" t="b">
        <f>FALSE()</f>
        <v>0</v>
      </c>
    </row>
    <row r="47" spans="1:25" ht="14" x14ac:dyDescent="0.3">
      <c r="A47" s="10">
        <v>43</v>
      </c>
      <c r="B47" s="42" t="s">
        <v>82</v>
      </c>
      <c r="C47" s="42" t="s">
        <v>83</v>
      </c>
      <c r="D47" s="87">
        <v>46094</v>
      </c>
      <c r="E47" s="85">
        <v>46124</v>
      </c>
      <c r="F47" s="10">
        <f t="shared" si="0"/>
        <v>31</v>
      </c>
      <c r="G47" s="10">
        <v>600</v>
      </c>
      <c r="H47" s="21">
        <v>0</v>
      </c>
      <c r="I47" s="16">
        <f t="shared" si="8"/>
        <v>0</v>
      </c>
      <c r="J47" s="17" t="str">
        <f t="shared" si="2"/>
        <v/>
      </c>
      <c r="K47" s="18" t="b">
        <f>FALSE()</f>
        <v>0</v>
      </c>
      <c r="L47" s="19" t="str">
        <f t="shared" si="3"/>
        <v/>
      </c>
      <c r="M47" s="19" t="b">
        <f>FALSE()</f>
        <v>0</v>
      </c>
      <c r="N47" s="17" t="str">
        <f t="shared" si="4"/>
        <v/>
      </c>
      <c r="O47" s="18" t="b">
        <f>FALSE()</f>
        <v>0</v>
      </c>
      <c r="P47" s="19" t="str">
        <f t="shared" si="5"/>
        <v/>
      </c>
      <c r="Q47" s="19" t="b">
        <f>FALSE()</f>
        <v>0</v>
      </c>
      <c r="R47" s="31">
        <f t="shared" si="6"/>
        <v>0</v>
      </c>
      <c r="S47" s="18" t="b">
        <f>TRUE()</f>
        <v>1</v>
      </c>
      <c r="T47" s="29">
        <f t="shared" si="9"/>
        <v>0</v>
      </c>
      <c r="U47" s="18" t="b">
        <f>TRUE()</f>
        <v>1</v>
      </c>
      <c r="V47" s="19"/>
      <c r="W47" s="18" t="b">
        <f>FALSE()</f>
        <v>0</v>
      </c>
      <c r="X47" s="19"/>
      <c r="Y47" s="18" t="b">
        <f>FALSE()</f>
        <v>0</v>
      </c>
    </row>
    <row r="48" spans="1:25" ht="14" x14ac:dyDescent="0.3">
      <c r="A48" s="10">
        <v>44</v>
      </c>
      <c r="B48" s="35" t="s">
        <v>84</v>
      </c>
      <c r="C48" s="35" t="s">
        <v>85</v>
      </c>
      <c r="D48" s="85">
        <v>46086</v>
      </c>
      <c r="E48" s="85">
        <v>46116</v>
      </c>
      <c r="F48" s="39">
        <f t="shared" si="0"/>
        <v>31</v>
      </c>
      <c r="G48" s="39">
        <v>900</v>
      </c>
      <c r="H48" s="40">
        <v>1080</v>
      </c>
      <c r="I48" s="51">
        <f t="shared" si="8"/>
        <v>3.870967741935484E-2</v>
      </c>
      <c r="J48" s="23">
        <f t="shared" si="2"/>
        <v>3.870967741935484E-2</v>
      </c>
      <c r="K48" s="24" t="b">
        <f>TRUE()</f>
        <v>1</v>
      </c>
      <c r="L48" s="26" t="str">
        <f t="shared" si="3"/>
        <v/>
      </c>
      <c r="M48" s="26" t="b">
        <f>FALSE()</f>
        <v>0</v>
      </c>
      <c r="N48" s="23">
        <f t="shared" si="4"/>
        <v>3.870967741935484E-2</v>
      </c>
      <c r="O48" s="24" t="b">
        <f>TRUE()</f>
        <v>1</v>
      </c>
      <c r="P48" s="26" t="str">
        <f t="shared" si="5"/>
        <v/>
      </c>
      <c r="Q48" s="26" t="b">
        <f>FALSE()</f>
        <v>0</v>
      </c>
      <c r="R48" s="23">
        <f t="shared" si="6"/>
        <v>3.870967741935484E-2</v>
      </c>
      <c r="S48" s="24" t="b">
        <f>TRUE()</f>
        <v>1</v>
      </c>
      <c r="T48" s="26" t="str">
        <f t="shared" si="9"/>
        <v/>
      </c>
      <c r="U48" s="24" t="b">
        <f>FALSE()</f>
        <v>0</v>
      </c>
      <c r="V48" s="26"/>
      <c r="W48" s="24" t="b">
        <f>FALSE()</f>
        <v>0</v>
      </c>
      <c r="X48" s="26"/>
      <c r="Y48" s="24" t="b">
        <f>FALSE()</f>
        <v>0</v>
      </c>
    </row>
    <row r="49" spans="1:32" ht="14" x14ac:dyDescent="0.25">
      <c r="A49" s="10">
        <v>45</v>
      </c>
      <c r="B49" s="27" t="s">
        <v>86</v>
      </c>
      <c r="C49" s="27" t="s">
        <v>87</v>
      </c>
      <c r="D49" s="84">
        <v>46097</v>
      </c>
      <c r="E49" s="84">
        <v>46127</v>
      </c>
      <c r="F49" s="13">
        <f t="shared" si="0"/>
        <v>31</v>
      </c>
      <c r="G49" s="13">
        <v>450</v>
      </c>
      <c r="H49" s="41">
        <v>900</v>
      </c>
      <c r="I49" s="52">
        <f t="shared" si="8"/>
        <v>6.4516129032258063E-2</v>
      </c>
      <c r="J49" s="17" t="str">
        <f t="shared" si="2"/>
        <v/>
      </c>
      <c r="K49" s="18" t="b">
        <f>FALSE()</f>
        <v>0</v>
      </c>
      <c r="L49" s="19" t="str">
        <f t="shared" si="3"/>
        <v/>
      </c>
      <c r="M49" s="19" t="b">
        <f>FALSE()</f>
        <v>0</v>
      </c>
      <c r="N49" s="17" t="str">
        <f t="shared" si="4"/>
        <v/>
      </c>
      <c r="O49" s="18" t="b">
        <f>FALSE()</f>
        <v>0</v>
      </c>
      <c r="P49" s="29">
        <f t="shared" si="5"/>
        <v>6.4516129032258063E-2</v>
      </c>
      <c r="Q49" s="19" t="b">
        <f>TRUE()</f>
        <v>1</v>
      </c>
      <c r="R49" s="17" t="str">
        <f t="shared" si="6"/>
        <v/>
      </c>
      <c r="S49" s="18" t="b">
        <f>FALSE()</f>
        <v>0</v>
      </c>
      <c r="T49" s="19" t="str">
        <f t="shared" si="9"/>
        <v/>
      </c>
      <c r="U49" s="18" t="b">
        <f>FALSE()</f>
        <v>0</v>
      </c>
      <c r="V49" s="19"/>
      <c r="W49" s="18" t="b">
        <f>FALSE()</f>
        <v>0</v>
      </c>
      <c r="X49" s="19"/>
      <c r="Y49" s="18" t="b">
        <f>FALSE()</f>
        <v>0</v>
      </c>
    </row>
    <row r="50" spans="1:32" ht="14" x14ac:dyDescent="0.25">
      <c r="A50" s="10">
        <v>46</v>
      </c>
      <c r="B50" s="27" t="s">
        <v>88</v>
      </c>
      <c r="C50" s="27" t="s">
        <v>89</v>
      </c>
      <c r="D50" s="84">
        <v>46097</v>
      </c>
      <c r="E50" s="84">
        <v>46112</v>
      </c>
      <c r="F50" s="13">
        <f t="shared" si="0"/>
        <v>16</v>
      </c>
      <c r="G50" s="13">
        <v>1350</v>
      </c>
      <c r="H50" s="41">
        <v>850</v>
      </c>
      <c r="I50" s="52">
        <f t="shared" si="8"/>
        <v>3.9351851851851853E-2</v>
      </c>
      <c r="J50" s="23">
        <f t="shared" si="2"/>
        <v>3.9351851851851853E-2</v>
      </c>
      <c r="K50" s="24" t="b">
        <f>TRUE()</f>
        <v>1</v>
      </c>
      <c r="L50" s="26" t="str">
        <f t="shared" si="3"/>
        <v/>
      </c>
      <c r="M50" s="26" t="b">
        <f>FALSE()</f>
        <v>0</v>
      </c>
      <c r="N50" s="30" t="str">
        <f t="shared" si="4"/>
        <v/>
      </c>
      <c r="O50" s="24" t="b">
        <f>FALSE()</f>
        <v>0</v>
      </c>
      <c r="P50" s="25">
        <f t="shared" si="5"/>
        <v>3.9351851851851853E-2</v>
      </c>
      <c r="Q50" s="26" t="b">
        <f>TRUE()</f>
        <v>1</v>
      </c>
      <c r="R50" s="23">
        <f t="shared" si="6"/>
        <v>3.9351851851851853E-2</v>
      </c>
      <c r="S50" s="24" t="b">
        <f>TRUE()</f>
        <v>1</v>
      </c>
      <c r="T50" s="26" t="str">
        <f t="shared" si="9"/>
        <v/>
      </c>
      <c r="U50" s="24" t="b">
        <f>FALSE()</f>
        <v>0</v>
      </c>
      <c r="V50" s="26"/>
      <c r="W50" s="24" t="b">
        <f>FALSE()</f>
        <v>0</v>
      </c>
      <c r="X50" s="26"/>
      <c r="Y50" s="24" t="b">
        <f>FALSE()</f>
        <v>0</v>
      </c>
    </row>
    <row r="51" spans="1:32" ht="14" x14ac:dyDescent="0.25">
      <c r="A51" s="10">
        <v>47</v>
      </c>
      <c r="B51" s="27" t="s">
        <v>90</v>
      </c>
      <c r="C51" s="27" t="s">
        <v>89</v>
      </c>
      <c r="D51" s="84">
        <v>46098</v>
      </c>
      <c r="E51" s="84">
        <v>46128</v>
      </c>
      <c r="F51" s="13">
        <f t="shared" si="0"/>
        <v>31</v>
      </c>
      <c r="G51" s="13">
        <v>900</v>
      </c>
      <c r="H51" s="41">
        <v>1620</v>
      </c>
      <c r="I51" s="52">
        <f t="shared" si="8"/>
        <v>5.8064516129032261E-2</v>
      </c>
      <c r="J51" s="17" t="str">
        <f t="shared" si="2"/>
        <v/>
      </c>
      <c r="K51" s="18" t="b">
        <f>FALSE()</f>
        <v>0</v>
      </c>
      <c r="L51" s="19" t="str">
        <f t="shared" si="3"/>
        <v/>
      </c>
      <c r="M51" s="19" t="b">
        <f>FALSE()</f>
        <v>0</v>
      </c>
      <c r="N51" s="31">
        <f t="shared" si="4"/>
        <v>5.8064516129032261E-2</v>
      </c>
      <c r="O51" s="18" t="b">
        <f>TRUE()</f>
        <v>1</v>
      </c>
      <c r="P51" s="29">
        <f t="shared" si="5"/>
        <v>5.8064516129032261E-2</v>
      </c>
      <c r="Q51" s="19" t="b">
        <f>TRUE()</f>
        <v>1</v>
      </c>
      <c r="R51" s="17" t="str">
        <f t="shared" si="6"/>
        <v/>
      </c>
      <c r="S51" s="18" t="b">
        <f>FALSE()</f>
        <v>0</v>
      </c>
      <c r="T51" s="19" t="str">
        <f t="shared" si="9"/>
        <v/>
      </c>
      <c r="U51" s="18" t="b">
        <f>FALSE()</f>
        <v>0</v>
      </c>
      <c r="V51" s="19"/>
      <c r="W51" s="18" t="b">
        <f>FALSE()</f>
        <v>0</v>
      </c>
      <c r="X51" s="19"/>
      <c r="Y51" s="18" t="b">
        <f>FALSE()</f>
        <v>0</v>
      </c>
    </row>
    <row r="52" spans="1:32" ht="14" x14ac:dyDescent="0.25">
      <c r="A52" s="10">
        <v>48</v>
      </c>
      <c r="B52" s="27" t="s">
        <v>91</v>
      </c>
      <c r="C52" s="27" t="s">
        <v>43</v>
      </c>
      <c r="D52" s="84">
        <v>46099</v>
      </c>
      <c r="E52" s="84">
        <v>46129</v>
      </c>
      <c r="F52" s="13">
        <f t="shared" si="0"/>
        <v>31</v>
      </c>
      <c r="G52" s="13">
        <v>900</v>
      </c>
      <c r="H52" s="41">
        <v>1350</v>
      </c>
      <c r="I52" s="52">
        <f t="shared" si="8"/>
        <v>4.8387096774193547E-2</v>
      </c>
      <c r="J52" s="30" t="str">
        <f t="shared" si="2"/>
        <v/>
      </c>
      <c r="K52" s="24" t="b">
        <f>FALSE()</f>
        <v>0</v>
      </c>
      <c r="L52" s="26" t="str">
        <f t="shared" si="3"/>
        <v/>
      </c>
      <c r="M52" s="26" t="b">
        <f>FALSE()</f>
        <v>0</v>
      </c>
      <c r="N52" s="23">
        <f t="shared" si="4"/>
        <v>4.8387096774193547E-2</v>
      </c>
      <c r="O52" s="24" t="b">
        <f>TRUE()</f>
        <v>1</v>
      </c>
      <c r="P52" s="26" t="str">
        <f t="shared" si="5"/>
        <v/>
      </c>
      <c r="Q52" s="26" t="b">
        <f>FALSE()</f>
        <v>0</v>
      </c>
      <c r="R52" s="30" t="str">
        <f t="shared" si="6"/>
        <v/>
      </c>
      <c r="S52" s="24" t="b">
        <f>FALSE()</f>
        <v>0</v>
      </c>
      <c r="T52" s="25">
        <f t="shared" si="9"/>
        <v>4.8387096774193547E-2</v>
      </c>
      <c r="U52" s="24" t="b">
        <f>TRUE()</f>
        <v>1</v>
      </c>
      <c r="V52" s="26"/>
      <c r="W52" s="24" t="b">
        <f>FALSE()</f>
        <v>0</v>
      </c>
      <c r="X52" s="26"/>
      <c r="Y52" s="24" t="b">
        <f>FALSE()</f>
        <v>0</v>
      </c>
    </row>
    <row r="53" spans="1:32" ht="14" x14ac:dyDescent="0.3">
      <c r="A53" s="10">
        <v>49</v>
      </c>
      <c r="B53" s="27" t="s">
        <v>37</v>
      </c>
      <c r="C53" s="27" t="s">
        <v>92</v>
      </c>
      <c r="D53" s="84">
        <v>46082</v>
      </c>
      <c r="E53" s="84">
        <v>46093</v>
      </c>
      <c r="F53" s="13">
        <f t="shared" si="0"/>
        <v>12</v>
      </c>
      <c r="G53" s="13">
        <v>450</v>
      </c>
      <c r="H53" s="41">
        <v>270</v>
      </c>
      <c r="I53" s="52">
        <f t="shared" si="8"/>
        <v>0.05</v>
      </c>
      <c r="J53" s="31">
        <f t="shared" si="2"/>
        <v>0.05</v>
      </c>
      <c r="K53" s="18" t="b">
        <f>TRUE()</f>
        <v>1</v>
      </c>
      <c r="L53" s="19" t="str">
        <f t="shared" si="3"/>
        <v/>
      </c>
      <c r="M53" s="19" t="b">
        <f>FALSE()</f>
        <v>0</v>
      </c>
      <c r="N53" s="17" t="str">
        <f t="shared" si="4"/>
        <v/>
      </c>
      <c r="O53" s="18" t="b">
        <f>FALSE()</f>
        <v>0</v>
      </c>
      <c r="P53" s="19" t="str">
        <f t="shared" si="5"/>
        <v/>
      </c>
      <c r="Q53" s="19" t="b">
        <f>FALSE()</f>
        <v>0</v>
      </c>
      <c r="R53" s="17" t="str">
        <f t="shared" si="6"/>
        <v/>
      </c>
      <c r="S53" s="18" t="b">
        <f>FALSE()</f>
        <v>0</v>
      </c>
      <c r="T53" s="19" t="str">
        <f t="shared" si="9"/>
        <v/>
      </c>
      <c r="U53" s="18" t="b">
        <f>FALSE()</f>
        <v>0</v>
      </c>
      <c r="V53" s="19"/>
      <c r="W53" s="18" t="b">
        <f>FALSE()</f>
        <v>0</v>
      </c>
      <c r="X53" s="19"/>
      <c r="Y53" s="18" t="b">
        <f>FALSE()</f>
        <v>0</v>
      </c>
      <c r="Z53" s="54"/>
      <c r="AA53" s="54"/>
      <c r="AB53" s="54"/>
      <c r="AC53" s="54"/>
      <c r="AD53" s="54"/>
      <c r="AE53" s="54"/>
      <c r="AF53" s="54"/>
    </row>
    <row r="54" spans="1:32" ht="14" x14ac:dyDescent="0.25">
      <c r="A54" s="10">
        <v>50</v>
      </c>
      <c r="B54" s="27" t="s">
        <v>93</v>
      </c>
      <c r="C54" s="27" t="s">
        <v>94</v>
      </c>
      <c r="D54" s="84">
        <v>46104</v>
      </c>
      <c r="E54" s="84">
        <v>46134</v>
      </c>
      <c r="F54" s="13">
        <f t="shared" si="0"/>
        <v>31</v>
      </c>
      <c r="G54" s="13">
        <v>300</v>
      </c>
      <c r="H54" s="41">
        <v>540</v>
      </c>
      <c r="I54" s="52">
        <f t="shared" si="8"/>
        <v>5.8064516129032261E-2</v>
      </c>
      <c r="J54" s="30" t="str">
        <f t="shared" si="2"/>
        <v/>
      </c>
      <c r="K54" s="24" t="b">
        <f>FALSE()</f>
        <v>0</v>
      </c>
      <c r="L54" s="26" t="str">
        <f t="shared" si="3"/>
        <v/>
      </c>
      <c r="M54" s="26" t="b">
        <f>FALSE()</f>
        <v>0</v>
      </c>
      <c r="N54" s="30" t="str">
        <f t="shared" si="4"/>
        <v/>
      </c>
      <c r="O54" s="24" t="b">
        <f>FALSE()</f>
        <v>0</v>
      </c>
      <c r="P54" s="25">
        <f t="shared" si="5"/>
        <v>5.8064516129032261E-2</v>
      </c>
      <c r="Q54" s="26" t="b">
        <f>TRUE()</f>
        <v>1</v>
      </c>
      <c r="R54" s="30" t="str">
        <f t="shared" si="6"/>
        <v/>
      </c>
      <c r="S54" s="24" t="b">
        <f>FALSE()</f>
        <v>0</v>
      </c>
      <c r="T54" s="26" t="str">
        <f t="shared" si="9"/>
        <v/>
      </c>
      <c r="U54" s="24" t="b">
        <f>FALSE()</f>
        <v>0</v>
      </c>
      <c r="V54" s="26"/>
      <c r="W54" s="24" t="b">
        <f>FALSE()</f>
        <v>0</v>
      </c>
      <c r="X54" s="26"/>
      <c r="Y54" s="24" t="b">
        <f>FALSE()</f>
        <v>0</v>
      </c>
    </row>
    <row r="55" spans="1:32" ht="14" x14ac:dyDescent="0.25">
      <c r="A55" s="10">
        <v>51</v>
      </c>
      <c r="B55" s="27" t="s">
        <v>93</v>
      </c>
      <c r="C55" s="27" t="s">
        <v>94</v>
      </c>
      <c r="D55" s="84">
        <v>46106</v>
      </c>
      <c r="E55" s="84">
        <v>46136</v>
      </c>
      <c r="F55" s="13">
        <f t="shared" si="0"/>
        <v>31</v>
      </c>
      <c r="G55" s="13">
        <v>300</v>
      </c>
      <c r="H55" s="41">
        <v>475</v>
      </c>
      <c r="I55" s="52">
        <f t="shared" si="8"/>
        <v>5.1075268817204304E-2</v>
      </c>
      <c r="J55" s="17" t="str">
        <f t="shared" si="2"/>
        <v/>
      </c>
      <c r="K55" s="18" t="b">
        <f>FALSE()</f>
        <v>0</v>
      </c>
      <c r="L55" s="19" t="str">
        <f t="shared" si="3"/>
        <v/>
      </c>
      <c r="M55" s="19" t="b">
        <f>FALSE()</f>
        <v>0</v>
      </c>
      <c r="N55" s="31">
        <f t="shared" si="4"/>
        <v>5.1075268817204304E-2</v>
      </c>
      <c r="O55" s="18" t="b">
        <f>TRUE()</f>
        <v>1</v>
      </c>
      <c r="P55" s="19" t="str">
        <f t="shared" si="5"/>
        <v/>
      </c>
      <c r="Q55" s="19" t="b">
        <f>FALSE()</f>
        <v>0</v>
      </c>
      <c r="R55" s="17" t="str">
        <f t="shared" si="6"/>
        <v/>
      </c>
      <c r="S55" s="18" t="b">
        <f>FALSE()</f>
        <v>0</v>
      </c>
      <c r="T55" s="19" t="str">
        <f t="shared" si="9"/>
        <v/>
      </c>
      <c r="U55" s="18" t="b">
        <f>FALSE()</f>
        <v>0</v>
      </c>
      <c r="V55" s="19"/>
      <c r="W55" s="18" t="b">
        <f>FALSE()</f>
        <v>0</v>
      </c>
      <c r="X55" s="19"/>
      <c r="Y55" s="18" t="b">
        <f>FALSE()</f>
        <v>0</v>
      </c>
    </row>
    <row r="56" spans="1:32" ht="14" x14ac:dyDescent="0.25">
      <c r="A56" s="10">
        <v>52</v>
      </c>
      <c r="B56" s="27" t="s">
        <v>95</v>
      </c>
      <c r="C56" s="27" t="s">
        <v>96</v>
      </c>
      <c r="D56" s="84">
        <v>46108</v>
      </c>
      <c r="E56" s="84">
        <v>46137</v>
      </c>
      <c r="F56" s="13">
        <f t="shared" si="0"/>
        <v>30</v>
      </c>
      <c r="G56" s="13">
        <v>600</v>
      </c>
      <c r="H56" s="41">
        <v>1170</v>
      </c>
      <c r="I56" s="52">
        <f t="shared" si="8"/>
        <v>6.5000000000000002E-2</v>
      </c>
      <c r="J56" s="30" t="str">
        <f t="shared" si="2"/>
        <v/>
      </c>
      <c r="K56" s="24" t="b">
        <f>FALSE()</f>
        <v>0</v>
      </c>
      <c r="L56" s="26" t="str">
        <f t="shared" si="3"/>
        <v/>
      </c>
      <c r="M56" s="26" t="b">
        <f>FALSE()</f>
        <v>0</v>
      </c>
      <c r="N56" s="23">
        <f t="shared" si="4"/>
        <v>6.5000000000000002E-2</v>
      </c>
      <c r="O56" s="24" t="b">
        <f>TRUE()</f>
        <v>1</v>
      </c>
      <c r="P56" s="25">
        <f t="shared" si="5"/>
        <v>6.5000000000000002E-2</v>
      </c>
      <c r="Q56" s="26" t="b">
        <f>TRUE()</f>
        <v>1</v>
      </c>
      <c r="R56" s="30" t="str">
        <f t="shared" si="6"/>
        <v/>
      </c>
      <c r="S56" s="24" t="b">
        <f>FALSE()</f>
        <v>0</v>
      </c>
      <c r="T56" s="26" t="str">
        <f t="shared" si="9"/>
        <v/>
      </c>
      <c r="U56" s="24" t="b">
        <f>FALSE()</f>
        <v>0</v>
      </c>
      <c r="V56" s="26"/>
      <c r="W56" s="24" t="b">
        <f>FALSE()</f>
        <v>0</v>
      </c>
      <c r="X56" s="26"/>
      <c r="Y56" s="24" t="b">
        <f>FALSE()</f>
        <v>0</v>
      </c>
    </row>
    <row r="57" spans="1:32" ht="14" x14ac:dyDescent="0.3">
      <c r="A57" s="10">
        <v>53</v>
      </c>
      <c r="B57" s="27" t="s">
        <v>62</v>
      </c>
      <c r="C57" s="27" t="s">
        <v>97</v>
      </c>
      <c r="D57" s="84">
        <v>46107</v>
      </c>
      <c r="E57" s="84">
        <v>46115</v>
      </c>
      <c r="F57" s="13">
        <f t="shared" si="0"/>
        <v>9</v>
      </c>
      <c r="G57" s="13">
        <v>1800</v>
      </c>
      <c r="H57" s="41">
        <v>0</v>
      </c>
      <c r="I57" s="52">
        <f t="shared" si="8"/>
        <v>0</v>
      </c>
      <c r="J57" s="31">
        <f t="shared" si="2"/>
        <v>0</v>
      </c>
      <c r="K57" s="18" t="b">
        <f>TRUE()</f>
        <v>1</v>
      </c>
      <c r="L57" s="29">
        <f t="shared" si="3"/>
        <v>0</v>
      </c>
      <c r="M57" s="19" t="b">
        <f>TRUE()</f>
        <v>1</v>
      </c>
      <c r="N57" s="31">
        <f t="shared" si="4"/>
        <v>0</v>
      </c>
      <c r="O57" s="18" t="b">
        <f>TRUE()</f>
        <v>1</v>
      </c>
      <c r="P57" s="29">
        <f t="shared" si="5"/>
        <v>0</v>
      </c>
      <c r="Q57" s="19" t="b">
        <f>TRUE()</f>
        <v>1</v>
      </c>
      <c r="R57" s="31">
        <f t="shared" si="6"/>
        <v>0</v>
      </c>
      <c r="S57" s="18" t="b">
        <f>TRUE()</f>
        <v>1</v>
      </c>
      <c r="T57" s="29">
        <f t="shared" si="9"/>
        <v>0</v>
      </c>
      <c r="U57" s="18" t="b">
        <f>TRUE()</f>
        <v>1</v>
      </c>
      <c r="V57" s="19"/>
      <c r="W57" s="18" t="b">
        <f>FALSE()</f>
        <v>0</v>
      </c>
      <c r="X57" s="19"/>
      <c r="Y57" s="18" t="b">
        <f>FALSE()</f>
        <v>0</v>
      </c>
      <c r="Z57" s="54"/>
      <c r="AA57" s="54"/>
      <c r="AB57" s="54"/>
      <c r="AC57" s="54"/>
      <c r="AD57" s="54"/>
      <c r="AE57" s="54"/>
      <c r="AF57" s="54"/>
    </row>
    <row r="58" spans="1:32" ht="14" x14ac:dyDescent="0.25">
      <c r="A58" s="10">
        <v>54</v>
      </c>
      <c r="B58" s="27" t="s">
        <v>46</v>
      </c>
      <c r="C58" s="27" t="s">
        <v>57</v>
      </c>
      <c r="D58" s="84">
        <v>46128</v>
      </c>
      <c r="E58" s="84">
        <v>46157</v>
      </c>
      <c r="F58" s="13">
        <f t="shared" si="0"/>
        <v>30</v>
      </c>
      <c r="G58" s="13">
        <v>900</v>
      </c>
      <c r="H58" s="41">
        <v>1890</v>
      </c>
      <c r="I58" s="52">
        <f t="shared" si="8"/>
        <v>7.0000000000000007E-2</v>
      </c>
      <c r="J58" s="30" t="str">
        <f t="shared" si="2"/>
        <v/>
      </c>
      <c r="K58" s="24" t="b">
        <f>FALSE()</f>
        <v>0</v>
      </c>
      <c r="L58" s="26" t="str">
        <f t="shared" si="3"/>
        <v/>
      </c>
      <c r="M58" s="26" t="b">
        <f>FALSE()</f>
        <v>0</v>
      </c>
      <c r="N58" s="30" t="str">
        <f t="shared" si="4"/>
        <v/>
      </c>
      <c r="O58" s="24" t="b">
        <f>FALSE()</f>
        <v>0</v>
      </c>
      <c r="P58" s="25">
        <f t="shared" si="5"/>
        <v>7.0000000000000007E-2</v>
      </c>
      <c r="Q58" s="26" t="b">
        <f>TRUE()</f>
        <v>1</v>
      </c>
      <c r="R58" s="23">
        <f t="shared" si="6"/>
        <v>7.0000000000000007E-2</v>
      </c>
      <c r="S58" s="24" t="b">
        <f>TRUE()</f>
        <v>1</v>
      </c>
      <c r="T58" s="26" t="str">
        <f t="shared" si="9"/>
        <v/>
      </c>
      <c r="U58" s="24" t="b">
        <f>FALSE()</f>
        <v>0</v>
      </c>
      <c r="V58" s="26"/>
      <c r="W58" s="24" t="b">
        <f>FALSE()</f>
        <v>0</v>
      </c>
      <c r="X58" s="26"/>
      <c r="Y58" s="24" t="b">
        <f>FALSE()</f>
        <v>0</v>
      </c>
    </row>
    <row r="59" spans="1:32" ht="14" x14ac:dyDescent="0.25">
      <c r="A59" s="10">
        <v>55</v>
      </c>
      <c r="B59" s="27" t="s">
        <v>33</v>
      </c>
      <c r="C59" s="27"/>
      <c r="D59" s="84">
        <v>46113</v>
      </c>
      <c r="E59" s="84">
        <v>46142</v>
      </c>
      <c r="F59" s="13">
        <f t="shared" si="0"/>
        <v>30</v>
      </c>
      <c r="G59" s="13">
        <v>600</v>
      </c>
      <c r="H59" s="41">
        <v>1100</v>
      </c>
      <c r="I59" s="52">
        <f t="shared" si="8"/>
        <v>6.1111111111111109E-2</v>
      </c>
      <c r="J59" s="17" t="str">
        <f t="shared" si="2"/>
        <v/>
      </c>
      <c r="K59" s="18" t="b">
        <f>FALSE()</f>
        <v>0</v>
      </c>
      <c r="L59" s="19" t="str">
        <f t="shared" si="3"/>
        <v/>
      </c>
      <c r="M59" s="19" t="b">
        <f>FALSE()</f>
        <v>0</v>
      </c>
      <c r="N59" s="17" t="str">
        <f t="shared" si="4"/>
        <v/>
      </c>
      <c r="O59" s="18" t="b">
        <f>FALSE()</f>
        <v>0</v>
      </c>
      <c r="P59" s="29">
        <f t="shared" si="5"/>
        <v>6.1111111111111109E-2</v>
      </c>
      <c r="Q59" s="19" t="b">
        <f>TRUE()</f>
        <v>1</v>
      </c>
      <c r="R59" s="31">
        <f t="shared" si="6"/>
        <v>6.1111111111111109E-2</v>
      </c>
      <c r="S59" s="18" t="b">
        <f>TRUE()</f>
        <v>1</v>
      </c>
      <c r="T59" s="19" t="str">
        <f t="shared" si="9"/>
        <v/>
      </c>
      <c r="U59" s="18" t="b">
        <f>FALSE()</f>
        <v>0</v>
      </c>
      <c r="V59" s="19"/>
      <c r="W59" s="18" t="b">
        <f>FALSE()</f>
        <v>0</v>
      </c>
      <c r="X59" s="19"/>
      <c r="Y59" s="18" t="b">
        <f>FALSE()</f>
        <v>0</v>
      </c>
    </row>
    <row r="60" spans="1:32" ht="14" x14ac:dyDescent="0.25">
      <c r="A60" s="10">
        <v>56</v>
      </c>
      <c r="B60" s="27" t="s">
        <v>72</v>
      </c>
      <c r="C60" s="27"/>
      <c r="D60" s="84">
        <v>46113</v>
      </c>
      <c r="E60" s="84">
        <v>46142</v>
      </c>
      <c r="F60" s="13">
        <f t="shared" si="0"/>
        <v>30</v>
      </c>
      <c r="G60" s="13">
        <v>300</v>
      </c>
      <c r="H60" s="41">
        <v>550</v>
      </c>
      <c r="I60" s="52">
        <f t="shared" si="8"/>
        <v>6.1111111111111109E-2</v>
      </c>
      <c r="J60" s="23">
        <f t="shared" si="2"/>
        <v>6.1111111111111109E-2</v>
      </c>
      <c r="K60" s="24" t="b">
        <f>TRUE()</f>
        <v>1</v>
      </c>
      <c r="L60" s="26" t="str">
        <f t="shared" si="3"/>
        <v/>
      </c>
      <c r="M60" s="26" t="b">
        <f>FALSE()</f>
        <v>0</v>
      </c>
      <c r="N60" s="30" t="str">
        <f t="shared" si="4"/>
        <v/>
      </c>
      <c r="O60" s="24" t="b">
        <f>FALSE()</f>
        <v>0</v>
      </c>
      <c r="P60" s="26" t="str">
        <f t="shared" si="5"/>
        <v/>
      </c>
      <c r="Q60" s="26" t="b">
        <f>FALSE()</f>
        <v>0</v>
      </c>
      <c r="R60" s="30" t="str">
        <f t="shared" si="6"/>
        <v/>
      </c>
      <c r="S60" s="24" t="b">
        <f>FALSE()</f>
        <v>0</v>
      </c>
      <c r="T60" s="26" t="str">
        <f t="shared" si="9"/>
        <v/>
      </c>
      <c r="U60" s="24" t="b">
        <f>FALSE()</f>
        <v>0</v>
      </c>
      <c r="V60" s="26"/>
      <c r="W60" s="24" t="b">
        <f>FALSE()</f>
        <v>0</v>
      </c>
      <c r="X60" s="26"/>
      <c r="Y60" s="24" t="b">
        <f>FALSE()</f>
        <v>0</v>
      </c>
    </row>
    <row r="61" spans="1:32" ht="14" x14ac:dyDescent="0.25">
      <c r="A61" s="10">
        <v>57</v>
      </c>
      <c r="B61" s="27" t="s">
        <v>98</v>
      </c>
      <c r="C61" s="27"/>
      <c r="D61" s="84">
        <v>46108</v>
      </c>
      <c r="E61" s="84">
        <v>46127</v>
      </c>
      <c r="F61" s="13">
        <f t="shared" si="0"/>
        <v>20</v>
      </c>
      <c r="G61" s="13">
        <v>900</v>
      </c>
      <c r="H61" s="41">
        <v>750</v>
      </c>
      <c r="I61" s="52">
        <f t="shared" si="8"/>
        <v>4.1666666666666664E-2</v>
      </c>
      <c r="J61" s="17" t="str">
        <f t="shared" si="2"/>
        <v/>
      </c>
      <c r="K61" s="18" t="b">
        <f>FALSE()</f>
        <v>0</v>
      </c>
      <c r="L61" s="29">
        <f t="shared" si="3"/>
        <v>4.1666666666666664E-2</v>
      </c>
      <c r="M61" s="19" t="b">
        <f>TRUE()</f>
        <v>1</v>
      </c>
      <c r="N61" s="17" t="str">
        <f t="shared" si="4"/>
        <v/>
      </c>
      <c r="O61" s="18" t="b">
        <f>FALSE()</f>
        <v>0</v>
      </c>
      <c r="P61" s="29">
        <f t="shared" si="5"/>
        <v>4.1666666666666664E-2</v>
      </c>
      <c r="Q61" s="19" t="b">
        <f>TRUE()</f>
        <v>1</v>
      </c>
      <c r="R61" s="17" t="str">
        <f t="shared" si="6"/>
        <v/>
      </c>
      <c r="S61" s="18" t="b">
        <f>FALSE()</f>
        <v>0</v>
      </c>
      <c r="T61" s="19" t="str">
        <f t="shared" si="9"/>
        <v/>
      </c>
      <c r="U61" s="18" t="b">
        <f>FALSE()</f>
        <v>0</v>
      </c>
      <c r="V61" s="19"/>
      <c r="W61" s="18" t="b">
        <f>FALSE()</f>
        <v>0</v>
      </c>
      <c r="X61" s="19"/>
      <c r="Y61" s="18" t="b">
        <f>FALSE()</f>
        <v>0</v>
      </c>
    </row>
    <row r="62" spans="1:32" ht="14" x14ac:dyDescent="0.25">
      <c r="A62" s="10">
        <v>58</v>
      </c>
      <c r="B62" s="27" t="s">
        <v>99</v>
      </c>
      <c r="C62" s="27" t="s">
        <v>100</v>
      </c>
      <c r="D62" s="84">
        <v>46108</v>
      </c>
      <c r="E62" s="84">
        <v>46119</v>
      </c>
      <c r="F62" s="13">
        <f t="shared" si="0"/>
        <v>12</v>
      </c>
      <c r="G62" s="13">
        <v>900</v>
      </c>
      <c r="H62" s="41">
        <v>648</v>
      </c>
      <c r="I62" s="52">
        <f t="shared" si="8"/>
        <v>0.06</v>
      </c>
      <c r="J62" s="30" t="str">
        <f t="shared" si="2"/>
        <v/>
      </c>
      <c r="K62" s="24" t="b">
        <f>FALSE()</f>
        <v>0</v>
      </c>
      <c r="L62" s="26" t="str">
        <f t="shared" si="3"/>
        <v/>
      </c>
      <c r="M62" s="26" t="b">
        <f>FALSE()</f>
        <v>0</v>
      </c>
      <c r="N62" s="30" t="str">
        <f t="shared" si="4"/>
        <v/>
      </c>
      <c r="O62" s="24" t="b">
        <f>FALSE()</f>
        <v>0</v>
      </c>
      <c r="P62" s="25">
        <f t="shared" si="5"/>
        <v>0.06</v>
      </c>
      <c r="Q62" s="26" t="b">
        <f>TRUE()</f>
        <v>1</v>
      </c>
      <c r="R62" s="23">
        <f t="shared" si="6"/>
        <v>0.06</v>
      </c>
      <c r="S62" s="24" t="b">
        <f>TRUE()</f>
        <v>1</v>
      </c>
      <c r="T62" s="26" t="str">
        <f t="shared" si="9"/>
        <v/>
      </c>
      <c r="U62" s="24" t="b">
        <f>FALSE()</f>
        <v>0</v>
      </c>
      <c r="V62" s="26"/>
      <c r="W62" s="24" t="b">
        <f>FALSE()</f>
        <v>0</v>
      </c>
      <c r="X62" s="26"/>
      <c r="Y62" s="24" t="b">
        <f>FALSE()</f>
        <v>0</v>
      </c>
    </row>
    <row r="63" spans="1:32" ht="14" x14ac:dyDescent="0.25">
      <c r="A63" s="10">
        <v>59</v>
      </c>
      <c r="B63" s="27" t="s">
        <v>101</v>
      </c>
      <c r="C63" s="27" t="s">
        <v>102</v>
      </c>
      <c r="D63" s="84">
        <v>46109</v>
      </c>
      <c r="E63" s="84">
        <v>46139</v>
      </c>
      <c r="F63" s="13">
        <f t="shared" si="0"/>
        <v>31</v>
      </c>
      <c r="G63" s="13">
        <v>450</v>
      </c>
      <c r="H63" s="41">
        <v>750</v>
      </c>
      <c r="I63" s="52">
        <f t="shared" si="8"/>
        <v>5.3763440860215055E-2</v>
      </c>
      <c r="J63" s="31">
        <f t="shared" si="2"/>
        <v>5.3763440860215055E-2</v>
      </c>
      <c r="K63" s="18" t="b">
        <f>TRUE()</f>
        <v>1</v>
      </c>
      <c r="L63" s="19" t="str">
        <f t="shared" si="3"/>
        <v/>
      </c>
      <c r="M63" s="19" t="b">
        <f>FALSE()</f>
        <v>0</v>
      </c>
      <c r="N63" s="17" t="str">
        <f t="shared" si="4"/>
        <v/>
      </c>
      <c r="O63" s="18" t="b">
        <f>FALSE()</f>
        <v>0</v>
      </c>
      <c r="P63" s="19" t="str">
        <f t="shared" si="5"/>
        <v/>
      </c>
      <c r="Q63" s="19" t="b">
        <f>FALSE()</f>
        <v>0</v>
      </c>
      <c r="R63" s="17" t="str">
        <f t="shared" si="6"/>
        <v/>
      </c>
      <c r="S63" s="18" t="b">
        <f>FALSE()</f>
        <v>0</v>
      </c>
      <c r="T63" s="19" t="str">
        <f t="shared" si="9"/>
        <v/>
      </c>
      <c r="U63" s="18" t="b">
        <f>FALSE()</f>
        <v>0</v>
      </c>
      <c r="V63" s="19"/>
      <c r="W63" s="18" t="b">
        <f>FALSE()</f>
        <v>0</v>
      </c>
      <c r="X63" s="19"/>
      <c r="Y63" s="18" t="b">
        <f>FALSE()</f>
        <v>0</v>
      </c>
    </row>
    <row r="64" spans="1:32" ht="14" x14ac:dyDescent="0.25">
      <c r="A64" s="10">
        <v>60</v>
      </c>
      <c r="B64" s="27" t="s">
        <v>103</v>
      </c>
      <c r="C64" s="27"/>
      <c r="D64" s="84">
        <v>46109</v>
      </c>
      <c r="E64" s="84">
        <v>46117</v>
      </c>
      <c r="F64" s="13">
        <f t="shared" si="0"/>
        <v>9</v>
      </c>
      <c r="G64" s="13">
        <v>900</v>
      </c>
      <c r="H64" s="41">
        <v>508.5</v>
      </c>
      <c r="I64" s="52">
        <f t="shared" si="8"/>
        <v>6.277777777777778E-2</v>
      </c>
      <c r="J64" s="23">
        <f t="shared" si="2"/>
        <v>6.277777777777778E-2</v>
      </c>
      <c r="K64" s="24" t="b">
        <f>TRUE()</f>
        <v>1</v>
      </c>
      <c r="L64" s="26" t="str">
        <f t="shared" si="3"/>
        <v/>
      </c>
      <c r="M64" s="26" t="b">
        <f>FALSE()</f>
        <v>0</v>
      </c>
      <c r="N64" s="30" t="str">
        <f t="shared" si="4"/>
        <v/>
      </c>
      <c r="O64" s="24" t="b">
        <f>FALSE()</f>
        <v>0</v>
      </c>
      <c r="P64" s="25">
        <f t="shared" si="5"/>
        <v>6.277777777777778E-2</v>
      </c>
      <c r="Q64" s="26" t="b">
        <f>TRUE()</f>
        <v>1</v>
      </c>
      <c r="R64" s="23">
        <f t="shared" si="6"/>
        <v>6.277777777777778E-2</v>
      </c>
      <c r="S64" s="24" t="b">
        <f>TRUE()</f>
        <v>1</v>
      </c>
      <c r="T64" s="26" t="str">
        <f t="shared" si="9"/>
        <v/>
      </c>
      <c r="U64" s="24" t="b">
        <f>FALSE()</f>
        <v>0</v>
      </c>
      <c r="V64" s="26"/>
      <c r="W64" s="24" t="b">
        <f>FALSE()</f>
        <v>0</v>
      </c>
      <c r="X64" s="26"/>
      <c r="Y64" s="24" t="b">
        <f>FALSE()</f>
        <v>0</v>
      </c>
    </row>
    <row r="65" spans="1:32" ht="14" x14ac:dyDescent="0.25">
      <c r="A65" s="10">
        <v>61</v>
      </c>
      <c r="B65" s="27" t="s">
        <v>104</v>
      </c>
      <c r="C65" s="27"/>
      <c r="D65" s="84">
        <v>46113</v>
      </c>
      <c r="E65" s="84">
        <v>46142</v>
      </c>
      <c r="F65" s="13">
        <f t="shared" si="0"/>
        <v>30</v>
      </c>
      <c r="G65" s="13">
        <v>300</v>
      </c>
      <c r="H65" s="41">
        <v>725</v>
      </c>
      <c r="I65" s="52">
        <f t="shared" si="8"/>
        <v>8.0555555555555561E-2</v>
      </c>
      <c r="J65" s="17" t="str">
        <f t="shared" si="2"/>
        <v/>
      </c>
      <c r="K65" s="18" t="b">
        <f>FALSE()</f>
        <v>0</v>
      </c>
      <c r="L65" s="19" t="str">
        <f t="shared" si="3"/>
        <v/>
      </c>
      <c r="M65" s="19" t="b">
        <f>FALSE()</f>
        <v>0</v>
      </c>
      <c r="N65" s="17" t="str">
        <f t="shared" si="4"/>
        <v/>
      </c>
      <c r="O65" s="18" t="b">
        <f>FALSE()</f>
        <v>0</v>
      </c>
      <c r="P65" s="29">
        <f t="shared" si="5"/>
        <v>8.0555555555555561E-2</v>
      </c>
      <c r="Q65" s="19" t="b">
        <f>TRUE()</f>
        <v>1</v>
      </c>
      <c r="R65" s="17" t="str">
        <f t="shared" si="6"/>
        <v/>
      </c>
      <c r="S65" s="18" t="b">
        <f>FALSE()</f>
        <v>0</v>
      </c>
      <c r="T65" s="19" t="str">
        <f t="shared" si="9"/>
        <v/>
      </c>
      <c r="U65" s="18" t="b">
        <f>FALSE()</f>
        <v>0</v>
      </c>
      <c r="V65" s="19"/>
      <c r="W65" s="18" t="b">
        <f>FALSE()</f>
        <v>0</v>
      </c>
      <c r="X65" s="19"/>
      <c r="Y65" s="18" t="b">
        <f>FALSE()</f>
        <v>0</v>
      </c>
    </row>
    <row r="66" spans="1:32" ht="14" x14ac:dyDescent="0.25">
      <c r="A66" s="10">
        <v>62</v>
      </c>
      <c r="B66" s="27" t="s">
        <v>39</v>
      </c>
      <c r="C66" s="27"/>
      <c r="D66" s="84">
        <v>46113</v>
      </c>
      <c r="E66" s="84">
        <v>46142</v>
      </c>
      <c r="F66" s="13">
        <f t="shared" si="0"/>
        <v>30</v>
      </c>
      <c r="G66" s="13">
        <v>300</v>
      </c>
      <c r="H66" s="41">
        <v>720</v>
      </c>
      <c r="I66" s="52">
        <f t="shared" si="8"/>
        <v>0.08</v>
      </c>
      <c r="J66" s="30" t="str">
        <f t="shared" si="2"/>
        <v/>
      </c>
      <c r="K66" s="24" t="b">
        <f>FALSE()</f>
        <v>0</v>
      </c>
      <c r="L66" s="26" t="str">
        <f t="shared" si="3"/>
        <v/>
      </c>
      <c r="M66" s="26" t="b">
        <f>FALSE()</f>
        <v>0</v>
      </c>
      <c r="N66" s="30" t="str">
        <f t="shared" si="4"/>
        <v/>
      </c>
      <c r="O66" s="24" t="b">
        <f>FALSE()</f>
        <v>0</v>
      </c>
      <c r="P66" s="25">
        <f t="shared" si="5"/>
        <v>0.08</v>
      </c>
      <c r="Q66" s="26" t="b">
        <f>TRUE()</f>
        <v>1</v>
      </c>
      <c r="R66" s="30" t="str">
        <f t="shared" si="6"/>
        <v/>
      </c>
      <c r="S66" s="24" t="b">
        <f>FALSE()</f>
        <v>0</v>
      </c>
      <c r="T66" s="26" t="str">
        <f t="shared" si="9"/>
        <v/>
      </c>
      <c r="U66" s="24" t="b">
        <f>FALSE()</f>
        <v>0</v>
      </c>
      <c r="V66" s="26"/>
      <c r="W66" s="24" t="b">
        <f>FALSE()</f>
        <v>0</v>
      </c>
      <c r="X66" s="26"/>
      <c r="Y66" s="24" t="b">
        <f>FALSE()</f>
        <v>0</v>
      </c>
    </row>
    <row r="67" spans="1:32" ht="14" x14ac:dyDescent="0.25">
      <c r="A67" s="10">
        <v>63</v>
      </c>
      <c r="B67" s="27" t="s">
        <v>105</v>
      </c>
      <c r="C67" s="27"/>
      <c r="D67" s="84">
        <v>46113</v>
      </c>
      <c r="E67" s="84">
        <v>46142</v>
      </c>
      <c r="F67" s="13">
        <f t="shared" si="0"/>
        <v>30</v>
      </c>
      <c r="G67" s="13">
        <v>1350</v>
      </c>
      <c r="H67" s="41">
        <v>1864.5</v>
      </c>
      <c r="I67" s="52">
        <f t="shared" si="8"/>
        <v>4.6037037037037036E-2</v>
      </c>
      <c r="J67" s="31">
        <f t="shared" si="2"/>
        <v>4.6037037037037036E-2</v>
      </c>
      <c r="K67" s="18" t="b">
        <f>TRUE()</f>
        <v>1</v>
      </c>
      <c r="L67" s="19" t="str">
        <f t="shared" si="3"/>
        <v/>
      </c>
      <c r="M67" s="19" t="b">
        <f>FALSE()</f>
        <v>0</v>
      </c>
      <c r="N67" s="17" t="str">
        <f t="shared" si="4"/>
        <v/>
      </c>
      <c r="O67" s="18" t="b">
        <f>FALSE()</f>
        <v>0</v>
      </c>
      <c r="P67" s="29">
        <f t="shared" si="5"/>
        <v>4.6037037037037036E-2</v>
      </c>
      <c r="Q67" s="19" t="b">
        <f>TRUE()</f>
        <v>1</v>
      </c>
      <c r="R67" s="17" t="str">
        <f t="shared" si="6"/>
        <v/>
      </c>
      <c r="S67" s="18" t="b">
        <f>FALSE()</f>
        <v>0</v>
      </c>
      <c r="T67" s="19" t="str">
        <f t="shared" si="9"/>
        <v/>
      </c>
      <c r="U67" s="18" t="b">
        <f>FALSE()</f>
        <v>0</v>
      </c>
      <c r="V67" s="19"/>
      <c r="W67" s="18" t="b">
        <f>FALSE()</f>
        <v>0</v>
      </c>
      <c r="X67" s="19"/>
      <c r="Y67" s="18" t="b">
        <f>FALSE()</f>
        <v>0</v>
      </c>
    </row>
    <row r="68" spans="1:32" ht="14" x14ac:dyDescent="0.3">
      <c r="A68" s="10">
        <v>64</v>
      </c>
      <c r="B68" s="27" t="s">
        <v>106</v>
      </c>
      <c r="C68" s="27"/>
      <c r="D68" s="84">
        <v>46113</v>
      </c>
      <c r="E68" s="84">
        <v>46127</v>
      </c>
      <c r="F68" s="13">
        <f t="shared" ref="F68:F131" si="10">(E68-D68)+1</f>
        <v>15</v>
      </c>
      <c r="G68" s="13">
        <v>600</v>
      </c>
      <c r="H68" s="41">
        <v>0</v>
      </c>
      <c r="I68" s="52">
        <f t="shared" si="8"/>
        <v>0</v>
      </c>
      <c r="J68" s="30" t="str">
        <f t="shared" si="2"/>
        <v/>
      </c>
      <c r="K68" s="24" t="b">
        <f>FALSE()</f>
        <v>0</v>
      </c>
      <c r="L68" s="25">
        <f t="shared" si="3"/>
        <v>0</v>
      </c>
      <c r="M68" s="26" t="b">
        <f>TRUE()</f>
        <v>1</v>
      </c>
      <c r="N68" s="30" t="str">
        <f t="shared" si="4"/>
        <v/>
      </c>
      <c r="O68" s="24" t="b">
        <f>FALSE()</f>
        <v>0</v>
      </c>
      <c r="P68" s="26" t="str">
        <f t="shared" si="5"/>
        <v/>
      </c>
      <c r="Q68" s="26" t="b">
        <f>FALSE()</f>
        <v>0</v>
      </c>
      <c r="R68" s="30" t="str">
        <f t="shared" si="6"/>
        <v/>
      </c>
      <c r="S68" s="24" t="b">
        <f>FALSE()</f>
        <v>0</v>
      </c>
      <c r="T68" s="25">
        <f t="shared" si="9"/>
        <v>0</v>
      </c>
      <c r="U68" s="24" t="b">
        <f>TRUE()</f>
        <v>1</v>
      </c>
      <c r="V68" s="26"/>
      <c r="W68" s="24" t="b">
        <f>FALSE()</f>
        <v>0</v>
      </c>
      <c r="X68" s="26"/>
      <c r="Y68" s="24" t="b">
        <f>FALSE()</f>
        <v>0</v>
      </c>
      <c r="Z68" s="54"/>
      <c r="AA68" s="54"/>
      <c r="AB68" s="54"/>
      <c r="AC68" s="54"/>
      <c r="AD68" s="54"/>
      <c r="AE68" s="54"/>
      <c r="AF68" s="54"/>
    </row>
    <row r="69" spans="1:32" ht="14" x14ac:dyDescent="0.25">
      <c r="A69" s="10">
        <v>65</v>
      </c>
      <c r="B69" s="27" t="s">
        <v>70</v>
      </c>
      <c r="C69" s="27"/>
      <c r="D69" s="84">
        <v>46113</v>
      </c>
      <c r="E69" s="84">
        <v>46142</v>
      </c>
      <c r="F69" s="13">
        <f t="shared" si="10"/>
        <v>30</v>
      </c>
      <c r="G69" s="13">
        <v>900</v>
      </c>
      <c r="H69" s="41">
        <v>1415</v>
      </c>
      <c r="I69" s="52">
        <f t="shared" ref="I69:I100" si="11">IFERROR(H69/(F69*G69),"")</f>
        <v>5.2407407407407409E-2</v>
      </c>
      <c r="J69" s="17" t="str">
        <f t="shared" ref="J69:J132" si="12">IF(K69=TRUE(),$I69,"")</f>
        <v/>
      </c>
      <c r="K69" s="18" t="b">
        <f>FALSE()</f>
        <v>0</v>
      </c>
      <c r="L69" s="29">
        <f t="shared" ref="L69:L132" si="13">IF(M69=TRUE(),$I69,"")</f>
        <v>5.2407407407407409E-2</v>
      </c>
      <c r="M69" s="19" t="b">
        <f>TRUE()</f>
        <v>1</v>
      </c>
      <c r="N69" s="17" t="str">
        <f t="shared" ref="N69:N132" si="14">IF(O69=TRUE(),$I69,"")</f>
        <v/>
      </c>
      <c r="O69" s="18" t="b">
        <f>FALSE()</f>
        <v>0</v>
      </c>
      <c r="P69" s="19" t="str">
        <f t="shared" ref="P69:P132" si="15">IF(Q69=TRUE(),$I69,"")</f>
        <v/>
      </c>
      <c r="Q69" s="19" t="b">
        <f>FALSE()</f>
        <v>0</v>
      </c>
      <c r="R69" s="17" t="str">
        <f t="shared" ref="R69:R132" si="16">IF(S69=TRUE(),$I69,"")</f>
        <v/>
      </c>
      <c r="S69" s="18" t="b">
        <f>FALSE()</f>
        <v>0</v>
      </c>
      <c r="T69" s="19" t="str">
        <f t="shared" ref="T69:T100" si="17">IF(U69=TRUE(),$I69,"")</f>
        <v/>
      </c>
      <c r="U69" s="18" t="b">
        <f>FALSE()</f>
        <v>0</v>
      </c>
      <c r="V69" s="19"/>
      <c r="W69" s="18" t="b">
        <f>FALSE()</f>
        <v>0</v>
      </c>
      <c r="X69" s="19"/>
      <c r="Y69" s="18" t="b">
        <f>FALSE()</f>
        <v>0</v>
      </c>
    </row>
    <row r="70" spans="1:32" ht="14" x14ac:dyDescent="0.25">
      <c r="A70" s="10">
        <v>66</v>
      </c>
      <c r="B70" s="27" t="s">
        <v>107</v>
      </c>
      <c r="C70" s="27"/>
      <c r="D70" s="84">
        <v>46111</v>
      </c>
      <c r="E70" s="84">
        <v>46117</v>
      </c>
      <c r="F70" s="13">
        <f t="shared" si="10"/>
        <v>7</v>
      </c>
      <c r="G70" s="13">
        <v>900</v>
      </c>
      <c r="H70" s="41">
        <v>350</v>
      </c>
      <c r="I70" s="52">
        <f t="shared" si="11"/>
        <v>5.5555555555555552E-2</v>
      </c>
      <c r="J70" s="30" t="str">
        <f t="shared" si="12"/>
        <v/>
      </c>
      <c r="K70" s="24" t="b">
        <f>FALSE()</f>
        <v>0</v>
      </c>
      <c r="L70" s="26" t="str">
        <f t="shared" si="13"/>
        <v/>
      </c>
      <c r="M70" s="26" t="b">
        <f>FALSE()</f>
        <v>0</v>
      </c>
      <c r="N70" s="30" t="str">
        <f t="shared" si="14"/>
        <v/>
      </c>
      <c r="O70" s="24" t="b">
        <f>FALSE()</f>
        <v>0</v>
      </c>
      <c r="P70" s="25">
        <f t="shared" si="15"/>
        <v>5.5555555555555552E-2</v>
      </c>
      <c r="Q70" s="26" t="b">
        <f>TRUE()</f>
        <v>1</v>
      </c>
      <c r="R70" s="23">
        <f t="shared" si="16"/>
        <v>5.5555555555555552E-2</v>
      </c>
      <c r="S70" s="24" t="b">
        <f>TRUE()</f>
        <v>1</v>
      </c>
      <c r="T70" s="26" t="str">
        <f t="shared" si="17"/>
        <v/>
      </c>
      <c r="U70" s="24" t="b">
        <f>FALSE()</f>
        <v>0</v>
      </c>
      <c r="V70" s="26"/>
      <c r="W70" s="24" t="b">
        <f>FALSE()</f>
        <v>0</v>
      </c>
      <c r="X70" s="26"/>
      <c r="Y70" s="24" t="b">
        <f>FALSE()</f>
        <v>0</v>
      </c>
    </row>
    <row r="71" spans="1:32" ht="14" x14ac:dyDescent="0.25">
      <c r="A71" s="10">
        <v>67</v>
      </c>
      <c r="B71" s="27" t="s">
        <v>108</v>
      </c>
      <c r="C71" s="27" t="s">
        <v>57</v>
      </c>
      <c r="D71" s="84">
        <v>46113</v>
      </c>
      <c r="E71" s="84">
        <v>46142</v>
      </c>
      <c r="F71" s="13">
        <f t="shared" si="10"/>
        <v>30</v>
      </c>
      <c r="G71" s="13">
        <v>450</v>
      </c>
      <c r="H71" s="41">
        <v>600</v>
      </c>
      <c r="I71" s="52">
        <f t="shared" si="11"/>
        <v>4.4444444444444446E-2</v>
      </c>
      <c r="J71" s="17" t="str">
        <f t="shared" si="12"/>
        <v/>
      </c>
      <c r="K71" s="18" t="b">
        <f>FALSE()</f>
        <v>0</v>
      </c>
      <c r="L71" s="19" t="str">
        <f t="shared" si="13"/>
        <v/>
      </c>
      <c r="M71" s="19" t="b">
        <f>FALSE()</f>
        <v>0</v>
      </c>
      <c r="N71" s="17" t="str">
        <f t="shared" si="14"/>
        <v/>
      </c>
      <c r="O71" s="18" t="b">
        <f>FALSE()</f>
        <v>0</v>
      </c>
      <c r="P71" s="19" t="str">
        <f t="shared" si="15"/>
        <v/>
      </c>
      <c r="Q71" s="19" t="b">
        <f>FALSE()</f>
        <v>0</v>
      </c>
      <c r="R71" s="17" t="str">
        <f t="shared" si="16"/>
        <v/>
      </c>
      <c r="S71" s="18" t="b">
        <f>FALSE()</f>
        <v>0</v>
      </c>
      <c r="T71" s="29">
        <f t="shared" si="17"/>
        <v>4.4444444444444446E-2</v>
      </c>
      <c r="U71" s="18" t="b">
        <f>TRUE()</f>
        <v>1</v>
      </c>
      <c r="V71" s="19"/>
      <c r="W71" s="18" t="b">
        <f>FALSE()</f>
        <v>0</v>
      </c>
      <c r="X71" s="19"/>
      <c r="Y71" s="18" t="b">
        <f>FALSE()</f>
        <v>0</v>
      </c>
    </row>
    <row r="72" spans="1:32" ht="14" x14ac:dyDescent="0.25">
      <c r="A72" s="10">
        <v>68</v>
      </c>
      <c r="B72" s="27" t="s">
        <v>58</v>
      </c>
      <c r="C72" s="27" t="s">
        <v>57</v>
      </c>
      <c r="D72" s="84">
        <v>46113</v>
      </c>
      <c r="E72" s="84">
        <v>46142</v>
      </c>
      <c r="F72" s="13">
        <f t="shared" si="10"/>
        <v>30</v>
      </c>
      <c r="G72" s="13">
        <v>900</v>
      </c>
      <c r="H72" s="41">
        <v>1200</v>
      </c>
      <c r="I72" s="52">
        <f t="shared" si="11"/>
        <v>4.4444444444444446E-2</v>
      </c>
      <c r="J72" s="23">
        <f t="shared" si="12"/>
        <v>4.4444444444444446E-2</v>
      </c>
      <c r="K72" s="24" t="b">
        <f>TRUE()</f>
        <v>1</v>
      </c>
      <c r="L72" s="26" t="str">
        <f t="shared" si="13"/>
        <v/>
      </c>
      <c r="M72" s="26" t="b">
        <f>FALSE()</f>
        <v>0</v>
      </c>
      <c r="N72" s="30" t="str">
        <f t="shared" si="14"/>
        <v/>
      </c>
      <c r="O72" s="24" t="b">
        <f>FALSE()</f>
        <v>0</v>
      </c>
      <c r="P72" s="25">
        <f t="shared" si="15"/>
        <v>4.4444444444444446E-2</v>
      </c>
      <c r="Q72" s="26" t="b">
        <f>TRUE()</f>
        <v>1</v>
      </c>
      <c r="R72" s="30" t="str">
        <f t="shared" si="16"/>
        <v/>
      </c>
      <c r="S72" s="24" t="b">
        <f>FALSE()</f>
        <v>0</v>
      </c>
      <c r="T72" s="26" t="str">
        <f t="shared" si="17"/>
        <v/>
      </c>
      <c r="U72" s="24" t="b">
        <f>FALSE()</f>
        <v>0</v>
      </c>
      <c r="V72" s="26"/>
      <c r="W72" s="24" t="b">
        <f>FALSE()</f>
        <v>0</v>
      </c>
      <c r="X72" s="26"/>
      <c r="Y72" s="24" t="b">
        <f>FALSE()</f>
        <v>0</v>
      </c>
    </row>
    <row r="73" spans="1:32" ht="14" x14ac:dyDescent="0.25">
      <c r="A73" s="10">
        <v>69</v>
      </c>
      <c r="B73" s="27" t="s">
        <v>84</v>
      </c>
      <c r="C73" s="27" t="s">
        <v>109</v>
      </c>
      <c r="D73" s="84">
        <v>46127</v>
      </c>
      <c r="E73" s="84">
        <v>46156</v>
      </c>
      <c r="F73" s="13">
        <f t="shared" si="10"/>
        <v>30</v>
      </c>
      <c r="G73" s="13">
        <v>300</v>
      </c>
      <c r="H73" s="41">
        <v>725</v>
      </c>
      <c r="I73" s="52">
        <f t="shared" si="11"/>
        <v>8.0555555555555561E-2</v>
      </c>
      <c r="J73" s="31">
        <f t="shared" si="12"/>
        <v>8.0555555555555561E-2</v>
      </c>
      <c r="K73" s="18" t="b">
        <f>TRUE()</f>
        <v>1</v>
      </c>
      <c r="L73" s="19" t="str">
        <f t="shared" si="13"/>
        <v/>
      </c>
      <c r="M73" s="19" t="b">
        <f>FALSE()</f>
        <v>0</v>
      </c>
      <c r="N73" s="31">
        <f t="shared" si="14"/>
        <v>8.0555555555555561E-2</v>
      </c>
      <c r="O73" s="18" t="b">
        <f>TRUE()</f>
        <v>1</v>
      </c>
      <c r="P73" s="19" t="str">
        <f t="shared" si="15"/>
        <v/>
      </c>
      <c r="Q73" s="19" t="b">
        <f>FALSE()</f>
        <v>0</v>
      </c>
      <c r="R73" s="31">
        <f t="shared" si="16"/>
        <v>8.0555555555555561E-2</v>
      </c>
      <c r="S73" s="18" t="b">
        <f>TRUE()</f>
        <v>1</v>
      </c>
      <c r="T73" s="19" t="str">
        <f t="shared" si="17"/>
        <v/>
      </c>
      <c r="U73" s="18" t="b">
        <f>FALSE()</f>
        <v>0</v>
      </c>
      <c r="V73" s="19"/>
      <c r="W73" s="18" t="b">
        <f>FALSE()</f>
        <v>0</v>
      </c>
      <c r="X73" s="19"/>
      <c r="Y73" s="18" t="b">
        <f>FALSE()</f>
        <v>0</v>
      </c>
    </row>
    <row r="74" spans="1:32" ht="14" x14ac:dyDescent="0.3">
      <c r="A74" s="10">
        <v>70</v>
      </c>
      <c r="B74" s="27" t="s">
        <v>98</v>
      </c>
      <c r="C74" s="27"/>
      <c r="D74" s="84">
        <v>46128</v>
      </c>
      <c r="E74" s="84">
        <v>46142</v>
      </c>
      <c r="F74" s="13">
        <f t="shared" si="10"/>
        <v>15</v>
      </c>
      <c r="G74" s="13">
        <v>900</v>
      </c>
      <c r="H74" s="41">
        <v>750</v>
      </c>
      <c r="I74" s="52">
        <f t="shared" si="11"/>
        <v>5.5555555555555552E-2</v>
      </c>
      <c r="J74" s="30" t="str">
        <f t="shared" si="12"/>
        <v/>
      </c>
      <c r="K74" s="24" t="b">
        <f>FALSE()</f>
        <v>0</v>
      </c>
      <c r="L74" s="26" t="str">
        <f t="shared" si="13"/>
        <v/>
      </c>
      <c r="M74" s="26" t="b">
        <f>FALSE()</f>
        <v>0</v>
      </c>
      <c r="N74" s="23">
        <f t="shared" si="14"/>
        <v>5.5555555555555552E-2</v>
      </c>
      <c r="O74" s="24" t="b">
        <f>TRUE()</f>
        <v>1</v>
      </c>
      <c r="P74" s="26" t="str">
        <f t="shared" si="15"/>
        <v/>
      </c>
      <c r="Q74" s="26" t="b">
        <f>FALSE()</f>
        <v>0</v>
      </c>
      <c r="R74" s="23">
        <f t="shared" si="16"/>
        <v>5.5555555555555552E-2</v>
      </c>
      <c r="S74" s="24" t="b">
        <f>TRUE()</f>
        <v>1</v>
      </c>
      <c r="T74" s="26" t="str">
        <f t="shared" si="17"/>
        <v/>
      </c>
      <c r="U74" s="24" t="b">
        <f>FALSE()</f>
        <v>0</v>
      </c>
      <c r="V74" s="26"/>
      <c r="W74" s="24" t="b">
        <f>FALSE()</f>
        <v>0</v>
      </c>
      <c r="X74" s="26"/>
      <c r="Y74" s="24" t="b">
        <f>FALSE()</f>
        <v>0</v>
      </c>
      <c r="Z74" s="54"/>
      <c r="AA74" s="54"/>
      <c r="AB74" s="54"/>
      <c r="AC74" s="54"/>
      <c r="AD74" s="54"/>
      <c r="AE74" s="54"/>
      <c r="AF74" s="54"/>
    </row>
    <row r="75" spans="1:32" ht="14" x14ac:dyDescent="0.25">
      <c r="A75" s="10">
        <v>71</v>
      </c>
      <c r="B75" s="27" t="s">
        <v>110</v>
      </c>
      <c r="C75" s="27" t="s">
        <v>111</v>
      </c>
      <c r="D75" s="84">
        <v>46118</v>
      </c>
      <c r="E75" s="84">
        <v>46147</v>
      </c>
      <c r="F75" s="13">
        <f t="shared" si="10"/>
        <v>30</v>
      </c>
      <c r="G75" s="13">
        <v>900</v>
      </c>
      <c r="H75" s="41">
        <v>1296.68</v>
      </c>
      <c r="I75" s="52">
        <f t="shared" si="11"/>
        <v>4.8025185185185185E-2</v>
      </c>
      <c r="J75" s="31">
        <f t="shared" si="12"/>
        <v>4.8025185185185185E-2</v>
      </c>
      <c r="K75" s="18" t="b">
        <f>TRUE()</f>
        <v>1</v>
      </c>
      <c r="L75" s="19" t="str">
        <f t="shared" si="13"/>
        <v/>
      </c>
      <c r="M75" s="19" t="b">
        <f>FALSE()</f>
        <v>0</v>
      </c>
      <c r="N75" s="31">
        <f t="shared" si="14"/>
        <v>4.8025185185185185E-2</v>
      </c>
      <c r="O75" s="18" t="b">
        <f>TRUE()</f>
        <v>1</v>
      </c>
      <c r="P75" s="19" t="str">
        <f t="shared" si="15"/>
        <v/>
      </c>
      <c r="Q75" s="19" t="b">
        <f>FALSE()</f>
        <v>0</v>
      </c>
      <c r="R75" s="17" t="str">
        <f t="shared" si="16"/>
        <v/>
      </c>
      <c r="S75" s="18" t="b">
        <f>FALSE()</f>
        <v>0</v>
      </c>
      <c r="T75" s="19" t="str">
        <f t="shared" si="17"/>
        <v/>
      </c>
      <c r="U75" s="18" t="b">
        <f>FALSE()</f>
        <v>0</v>
      </c>
      <c r="V75" s="19"/>
      <c r="W75" s="18" t="b">
        <f>FALSE()</f>
        <v>0</v>
      </c>
      <c r="X75" s="19"/>
      <c r="Y75" s="18" t="b">
        <f>FALSE()</f>
        <v>0</v>
      </c>
    </row>
    <row r="76" spans="1:32" ht="14" x14ac:dyDescent="0.25">
      <c r="A76" s="10">
        <v>72</v>
      </c>
      <c r="B76" s="27" t="s">
        <v>112</v>
      </c>
      <c r="C76" s="27" t="s">
        <v>113</v>
      </c>
      <c r="D76" s="84">
        <v>46120</v>
      </c>
      <c r="E76" s="84">
        <v>46149</v>
      </c>
      <c r="F76" s="13">
        <f t="shared" si="10"/>
        <v>30</v>
      </c>
      <c r="G76" s="13">
        <v>300</v>
      </c>
      <c r="H76" s="41">
        <v>381.38</v>
      </c>
      <c r="I76" s="52">
        <f t="shared" si="11"/>
        <v>4.2375555555555555E-2</v>
      </c>
      <c r="J76" s="30" t="str">
        <f t="shared" si="12"/>
        <v/>
      </c>
      <c r="K76" s="24" t="b">
        <f>FALSE()</f>
        <v>0</v>
      </c>
      <c r="L76" s="26" t="str">
        <f t="shared" si="13"/>
        <v/>
      </c>
      <c r="M76" s="26" t="b">
        <f>FALSE()</f>
        <v>0</v>
      </c>
      <c r="N76" s="23">
        <f t="shared" si="14"/>
        <v>4.2375555555555555E-2</v>
      </c>
      <c r="O76" s="24" t="b">
        <f>TRUE()</f>
        <v>1</v>
      </c>
      <c r="P76" s="26" t="str">
        <f t="shared" si="15"/>
        <v/>
      </c>
      <c r="Q76" s="26" t="b">
        <f>FALSE()</f>
        <v>0</v>
      </c>
      <c r="R76" s="30" t="str">
        <f t="shared" si="16"/>
        <v/>
      </c>
      <c r="S76" s="24" t="b">
        <f>FALSE()</f>
        <v>0</v>
      </c>
      <c r="T76" s="26" t="str">
        <f t="shared" si="17"/>
        <v/>
      </c>
      <c r="U76" s="24" t="b">
        <f>FALSE()</f>
        <v>0</v>
      </c>
      <c r="V76" s="26"/>
      <c r="W76" s="24" t="b">
        <f>FALSE()</f>
        <v>0</v>
      </c>
      <c r="X76" s="26"/>
      <c r="Y76" s="24" t="b">
        <f>FALSE()</f>
        <v>0</v>
      </c>
    </row>
    <row r="77" spans="1:32" ht="14" x14ac:dyDescent="0.25">
      <c r="A77" s="10">
        <v>73</v>
      </c>
      <c r="B77" s="27" t="s">
        <v>114</v>
      </c>
      <c r="C77" s="27" t="s">
        <v>115</v>
      </c>
      <c r="D77" s="84">
        <v>46121</v>
      </c>
      <c r="E77" s="84">
        <v>46150</v>
      </c>
      <c r="F77" s="13">
        <f t="shared" si="10"/>
        <v>30</v>
      </c>
      <c r="G77" s="13">
        <v>300</v>
      </c>
      <c r="H77" s="41">
        <v>550</v>
      </c>
      <c r="I77" s="52">
        <f t="shared" si="11"/>
        <v>6.1111111111111109E-2</v>
      </c>
      <c r="J77" s="17" t="str">
        <f t="shared" si="12"/>
        <v/>
      </c>
      <c r="K77" s="18" t="b">
        <f>FALSE()</f>
        <v>0</v>
      </c>
      <c r="L77" s="19" t="str">
        <f t="shared" si="13"/>
        <v/>
      </c>
      <c r="M77" s="19" t="b">
        <f>FALSE()</f>
        <v>0</v>
      </c>
      <c r="N77" s="31">
        <f t="shared" si="14"/>
        <v>6.1111111111111109E-2</v>
      </c>
      <c r="O77" s="18" t="b">
        <f>TRUE()</f>
        <v>1</v>
      </c>
      <c r="P77" s="19" t="str">
        <f t="shared" si="15"/>
        <v/>
      </c>
      <c r="Q77" s="19" t="b">
        <f>FALSE()</f>
        <v>0</v>
      </c>
      <c r="R77" s="17" t="str">
        <f t="shared" si="16"/>
        <v/>
      </c>
      <c r="S77" s="18" t="b">
        <f>FALSE()</f>
        <v>0</v>
      </c>
      <c r="T77" s="19" t="str">
        <f t="shared" si="17"/>
        <v/>
      </c>
      <c r="U77" s="18" t="b">
        <f>FALSE()</f>
        <v>0</v>
      </c>
      <c r="V77" s="19"/>
      <c r="W77" s="18" t="b">
        <f>FALSE()</f>
        <v>0</v>
      </c>
      <c r="X77" s="19"/>
      <c r="Y77" s="18" t="b">
        <f>FALSE()</f>
        <v>0</v>
      </c>
    </row>
    <row r="78" spans="1:32" ht="14" x14ac:dyDescent="0.3">
      <c r="A78" s="10">
        <v>74</v>
      </c>
      <c r="B78" s="27" t="s">
        <v>116</v>
      </c>
      <c r="C78" s="27" t="s">
        <v>117</v>
      </c>
      <c r="D78" s="84">
        <v>46122</v>
      </c>
      <c r="E78" s="84">
        <v>46151</v>
      </c>
      <c r="F78" s="13">
        <f t="shared" si="10"/>
        <v>30</v>
      </c>
      <c r="G78" s="13">
        <v>600</v>
      </c>
      <c r="H78" s="41">
        <v>0</v>
      </c>
      <c r="I78" s="52">
        <f t="shared" si="11"/>
        <v>0</v>
      </c>
      <c r="J78" s="30" t="str">
        <f t="shared" si="12"/>
        <v/>
      </c>
      <c r="K78" s="24" t="b">
        <f>FALSE()</f>
        <v>0</v>
      </c>
      <c r="L78" s="26" t="str">
        <f t="shared" si="13"/>
        <v/>
      </c>
      <c r="M78" s="26" t="b">
        <f>FALSE()</f>
        <v>0</v>
      </c>
      <c r="N78" s="30" t="str">
        <f t="shared" si="14"/>
        <v/>
      </c>
      <c r="O78" s="24" t="b">
        <f>FALSE()</f>
        <v>0</v>
      </c>
      <c r="P78" s="26" t="str">
        <f t="shared" si="15"/>
        <v/>
      </c>
      <c r="Q78" s="26" t="b">
        <f>FALSE()</f>
        <v>0</v>
      </c>
      <c r="R78" s="23">
        <f t="shared" si="16"/>
        <v>0</v>
      </c>
      <c r="S78" s="24" t="b">
        <f>TRUE()</f>
        <v>1</v>
      </c>
      <c r="T78" s="25">
        <f t="shared" si="17"/>
        <v>0</v>
      </c>
      <c r="U78" s="24" t="b">
        <f>TRUE()</f>
        <v>1</v>
      </c>
      <c r="V78" s="26"/>
      <c r="W78" s="24" t="b">
        <f>FALSE()</f>
        <v>0</v>
      </c>
      <c r="X78" s="26"/>
      <c r="Y78" s="24" t="b">
        <f>FALSE()</f>
        <v>0</v>
      </c>
      <c r="Z78" s="54"/>
      <c r="AA78" s="54"/>
      <c r="AB78" s="54"/>
      <c r="AC78" s="54"/>
      <c r="AD78" s="54"/>
      <c r="AE78" s="54"/>
      <c r="AF78" s="54"/>
    </row>
    <row r="79" spans="1:32" ht="14" x14ac:dyDescent="0.3">
      <c r="A79" s="10">
        <v>75</v>
      </c>
      <c r="B79" s="27" t="s">
        <v>118</v>
      </c>
      <c r="C79" s="27" t="s">
        <v>119</v>
      </c>
      <c r="D79" s="84">
        <v>46122</v>
      </c>
      <c r="E79" s="84">
        <v>46130</v>
      </c>
      <c r="F79" s="13">
        <f t="shared" si="10"/>
        <v>9</v>
      </c>
      <c r="G79" s="13">
        <v>900</v>
      </c>
      <c r="H79" s="41">
        <v>0</v>
      </c>
      <c r="I79" s="52">
        <f t="shared" si="11"/>
        <v>0</v>
      </c>
      <c r="J79" s="17" t="str">
        <f t="shared" si="12"/>
        <v/>
      </c>
      <c r="K79" s="18" t="b">
        <f>FALSE()</f>
        <v>0</v>
      </c>
      <c r="L79" s="29">
        <f t="shared" si="13"/>
        <v>0</v>
      </c>
      <c r="M79" s="19" t="b">
        <f>TRUE()</f>
        <v>1</v>
      </c>
      <c r="N79" s="17" t="str">
        <f t="shared" si="14"/>
        <v/>
      </c>
      <c r="O79" s="18" t="b">
        <f>FALSE()</f>
        <v>0</v>
      </c>
      <c r="P79" s="29">
        <f t="shared" si="15"/>
        <v>0</v>
      </c>
      <c r="Q79" s="19" t="b">
        <f>TRUE()</f>
        <v>1</v>
      </c>
      <c r="R79" s="31">
        <f t="shared" si="16"/>
        <v>0</v>
      </c>
      <c r="S79" s="18" t="b">
        <f>TRUE()</f>
        <v>1</v>
      </c>
      <c r="T79" s="19" t="str">
        <f t="shared" si="17"/>
        <v/>
      </c>
      <c r="U79" s="18" t="b">
        <f>FALSE()</f>
        <v>0</v>
      </c>
      <c r="V79" s="19"/>
      <c r="W79" s="18" t="b">
        <f>FALSE()</f>
        <v>0</v>
      </c>
      <c r="X79" s="19"/>
      <c r="Y79" s="18" t="b">
        <f>FALSE()</f>
        <v>0</v>
      </c>
      <c r="Z79" s="54"/>
      <c r="AA79" s="54"/>
      <c r="AB79" s="54"/>
      <c r="AC79" s="54"/>
      <c r="AD79" s="54"/>
      <c r="AE79" s="54"/>
      <c r="AF79" s="54"/>
    </row>
    <row r="80" spans="1:32" ht="14" x14ac:dyDescent="0.25">
      <c r="A80" s="10">
        <v>76</v>
      </c>
      <c r="B80" s="27" t="s">
        <v>120</v>
      </c>
      <c r="C80" s="27" t="s">
        <v>121</v>
      </c>
      <c r="D80" s="84">
        <v>46125</v>
      </c>
      <c r="E80" s="84">
        <v>46138</v>
      </c>
      <c r="F80" s="13">
        <f t="shared" si="10"/>
        <v>14</v>
      </c>
      <c r="G80" s="13">
        <v>450</v>
      </c>
      <c r="H80" s="41">
        <v>400</v>
      </c>
      <c r="I80" s="52">
        <f t="shared" si="11"/>
        <v>6.3492063492063489E-2</v>
      </c>
      <c r="J80" s="30" t="str">
        <f t="shared" si="12"/>
        <v/>
      </c>
      <c r="K80" s="24" t="b">
        <f>FALSE()</f>
        <v>0</v>
      </c>
      <c r="L80" s="26" t="str">
        <f t="shared" si="13"/>
        <v/>
      </c>
      <c r="M80" s="26" t="b">
        <f>FALSE()</f>
        <v>0</v>
      </c>
      <c r="N80" s="23">
        <f t="shared" si="14"/>
        <v>6.3492063492063489E-2</v>
      </c>
      <c r="O80" s="24" t="b">
        <f>TRUE()</f>
        <v>1</v>
      </c>
      <c r="P80" s="26" t="str">
        <f t="shared" si="15"/>
        <v/>
      </c>
      <c r="Q80" s="26" t="b">
        <f>FALSE()</f>
        <v>0</v>
      </c>
      <c r="R80" s="30" t="str">
        <f t="shared" si="16"/>
        <v/>
      </c>
      <c r="S80" s="24" t="b">
        <f>FALSE()</f>
        <v>0</v>
      </c>
      <c r="T80" s="26" t="str">
        <f t="shared" si="17"/>
        <v/>
      </c>
      <c r="U80" s="24" t="b">
        <f>FALSE()</f>
        <v>0</v>
      </c>
      <c r="V80" s="26"/>
      <c r="W80" s="24" t="b">
        <f>FALSE()</f>
        <v>0</v>
      </c>
      <c r="X80" s="26"/>
      <c r="Y80" s="24" t="b">
        <f>FALSE()</f>
        <v>0</v>
      </c>
    </row>
    <row r="81" spans="1:32" ht="14" x14ac:dyDescent="0.25">
      <c r="A81" s="10">
        <v>77</v>
      </c>
      <c r="B81" s="27" t="s">
        <v>80</v>
      </c>
      <c r="C81" s="27" t="s">
        <v>122</v>
      </c>
      <c r="D81" s="84">
        <v>46127</v>
      </c>
      <c r="E81" s="84">
        <v>46160</v>
      </c>
      <c r="F81" s="13">
        <f t="shared" si="10"/>
        <v>34</v>
      </c>
      <c r="G81" s="13">
        <v>1350</v>
      </c>
      <c r="H81" s="41">
        <v>2365</v>
      </c>
      <c r="I81" s="52">
        <f t="shared" si="11"/>
        <v>5.1525054466230936E-2</v>
      </c>
      <c r="J81" s="31">
        <f t="shared" si="12"/>
        <v>5.1525054466230936E-2</v>
      </c>
      <c r="K81" s="18" t="b">
        <f>TRUE()</f>
        <v>1</v>
      </c>
      <c r="L81" s="19" t="str">
        <f t="shared" si="13"/>
        <v/>
      </c>
      <c r="M81" s="19" t="b">
        <f>FALSE()</f>
        <v>0</v>
      </c>
      <c r="N81" s="17" t="str">
        <f t="shared" si="14"/>
        <v/>
      </c>
      <c r="O81" s="18" t="b">
        <f>FALSE()</f>
        <v>0</v>
      </c>
      <c r="P81" s="29">
        <f t="shared" si="15"/>
        <v>5.1525054466230936E-2</v>
      </c>
      <c r="Q81" s="19" t="b">
        <f>TRUE()</f>
        <v>1</v>
      </c>
      <c r="R81" s="31">
        <f t="shared" si="16"/>
        <v>5.1525054466230936E-2</v>
      </c>
      <c r="S81" s="18" t="b">
        <f>TRUE()</f>
        <v>1</v>
      </c>
      <c r="T81" s="19" t="str">
        <f t="shared" si="17"/>
        <v/>
      </c>
      <c r="U81" s="18" t="b">
        <f>FALSE()</f>
        <v>0</v>
      </c>
      <c r="V81" s="19"/>
      <c r="W81" s="18" t="b">
        <f>FALSE()</f>
        <v>0</v>
      </c>
      <c r="X81" s="19"/>
      <c r="Y81" s="18" t="b">
        <f>FALSE()</f>
        <v>0</v>
      </c>
    </row>
    <row r="82" spans="1:32" ht="14" x14ac:dyDescent="0.25">
      <c r="A82" s="10">
        <v>78</v>
      </c>
      <c r="B82" s="27" t="s">
        <v>19</v>
      </c>
      <c r="C82" s="55"/>
      <c r="D82" s="84">
        <v>46113</v>
      </c>
      <c r="E82" s="84">
        <v>46142</v>
      </c>
      <c r="F82" s="13">
        <f t="shared" si="10"/>
        <v>30</v>
      </c>
      <c r="G82" s="13"/>
      <c r="H82" s="41"/>
      <c r="I82" s="52" t="str">
        <f t="shared" si="11"/>
        <v/>
      </c>
      <c r="J82" s="30" t="str">
        <f t="shared" si="12"/>
        <v/>
      </c>
      <c r="K82" s="24" t="b">
        <f>FALSE()</f>
        <v>0</v>
      </c>
      <c r="L82" s="26" t="str">
        <f t="shared" si="13"/>
        <v/>
      </c>
      <c r="M82" s="26" t="b">
        <f>FALSE()</f>
        <v>0</v>
      </c>
      <c r="N82" s="30" t="str">
        <f t="shared" si="14"/>
        <v/>
      </c>
      <c r="O82" s="24" t="b">
        <f>FALSE()</f>
        <v>0</v>
      </c>
      <c r="P82" s="26" t="str">
        <f t="shared" si="15"/>
        <v/>
      </c>
      <c r="Q82" s="26" t="b">
        <f>FALSE()</f>
        <v>0</v>
      </c>
      <c r="R82" s="30" t="str">
        <f t="shared" si="16"/>
        <v/>
      </c>
      <c r="S82" s="24" t="b">
        <f>FALSE()</f>
        <v>0</v>
      </c>
      <c r="T82" s="26" t="str">
        <f t="shared" si="17"/>
        <v/>
      </c>
      <c r="U82" s="24" t="b">
        <f>FALSE()</f>
        <v>0</v>
      </c>
      <c r="V82" s="26"/>
      <c r="W82" s="24" t="b">
        <f>FALSE()</f>
        <v>0</v>
      </c>
      <c r="X82" s="26"/>
      <c r="Y82" s="24" t="b">
        <f>FALSE()</f>
        <v>0</v>
      </c>
    </row>
    <row r="83" spans="1:32" ht="14" x14ac:dyDescent="0.25">
      <c r="A83" s="10">
        <v>79</v>
      </c>
      <c r="B83" s="27" t="s">
        <v>123</v>
      </c>
      <c r="C83" s="27"/>
      <c r="D83" s="84">
        <v>46128</v>
      </c>
      <c r="E83" s="84">
        <v>46157</v>
      </c>
      <c r="F83" s="13">
        <f t="shared" si="10"/>
        <v>30</v>
      </c>
      <c r="G83" s="13">
        <v>450</v>
      </c>
      <c r="H83" s="41">
        <v>900</v>
      </c>
      <c r="I83" s="52">
        <f t="shared" si="11"/>
        <v>6.6666666666666666E-2</v>
      </c>
      <c r="J83" s="17" t="str">
        <f t="shared" si="12"/>
        <v/>
      </c>
      <c r="K83" s="18" t="b">
        <f>FALSE()</f>
        <v>0</v>
      </c>
      <c r="L83" s="19" t="str">
        <f t="shared" si="13"/>
        <v/>
      </c>
      <c r="M83" s="19" t="b">
        <f>FALSE()</f>
        <v>0</v>
      </c>
      <c r="N83" s="17" t="str">
        <f t="shared" si="14"/>
        <v/>
      </c>
      <c r="O83" s="18" t="b">
        <f>FALSE()</f>
        <v>0</v>
      </c>
      <c r="P83" s="29">
        <f t="shared" si="15"/>
        <v>6.6666666666666666E-2</v>
      </c>
      <c r="Q83" s="19" t="b">
        <f>TRUE()</f>
        <v>1</v>
      </c>
      <c r="R83" s="17" t="str">
        <f t="shared" si="16"/>
        <v/>
      </c>
      <c r="S83" s="18" t="b">
        <f>FALSE()</f>
        <v>0</v>
      </c>
      <c r="T83" s="19" t="str">
        <f t="shared" si="17"/>
        <v/>
      </c>
      <c r="U83" s="18" t="b">
        <f>FALSE()</f>
        <v>0</v>
      </c>
      <c r="V83" s="19"/>
      <c r="W83" s="18" t="b">
        <f>FALSE()</f>
        <v>0</v>
      </c>
      <c r="X83" s="19"/>
      <c r="Y83" s="18" t="b">
        <f>FALSE()</f>
        <v>0</v>
      </c>
    </row>
    <row r="84" spans="1:32" ht="14" x14ac:dyDescent="0.25">
      <c r="A84" s="10">
        <v>80</v>
      </c>
      <c r="B84" s="27" t="s">
        <v>51</v>
      </c>
      <c r="C84" s="27"/>
      <c r="D84" s="84">
        <v>46130</v>
      </c>
      <c r="E84" s="84">
        <v>46159</v>
      </c>
      <c r="F84" s="13">
        <f t="shared" si="10"/>
        <v>30</v>
      </c>
      <c r="G84" s="13">
        <v>300</v>
      </c>
      <c r="H84" s="41">
        <v>550</v>
      </c>
      <c r="I84" s="52">
        <f t="shared" si="11"/>
        <v>6.1111111111111109E-2</v>
      </c>
      <c r="J84" s="30" t="str">
        <f t="shared" si="12"/>
        <v/>
      </c>
      <c r="K84" s="24" t="b">
        <f>FALSE()</f>
        <v>0</v>
      </c>
      <c r="L84" s="26" t="str">
        <f t="shared" si="13"/>
        <v/>
      </c>
      <c r="M84" s="26" t="b">
        <f>FALSE()</f>
        <v>0</v>
      </c>
      <c r="N84" s="30" t="str">
        <f t="shared" si="14"/>
        <v/>
      </c>
      <c r="O84" s="24" t="b">
        <f>FALSE()</f>
        <v>0</v>
      </c>
      <c r="P84" s="25">
        <f t="shared" si="15"/>
        <v>6.1111111111111109E-2</v>
      </c>
      <c r="Q84" s="26" t="b">
        <f>TRUE()</f>
        <v>1</v>
      </c>
      <c r="R84" s="30" t="str">
        <f t="shared" si="16"/>
        <v/>
      </c>
      <c r="S84" s="24" t="b">
        <f>FALSE()</f>
        <v>0</v>
      </c>
      <c r="T84" s="26" t="str">
        <f t="shared" si="17"/>
        <v/>
      </c>
      <c r="U84" s="24" t="b">
        <f>FALSE()</f>
        <v>0</v>
      </c>
      <c r="V84" s="26"/>
      <c r="W84" s="24" t="b">
        <f>FALSE()</f>
        <v>0</v>
      </c>
      <c r="X84" s="26"/>
      <c r="Y84" s="24" t="b">
        <f>FALSE()</f>
        <v>0</v>
      </c>
    </row>
    <row r="85" spans="1:32" ht="14" x14ac:dyDescent="0.3">
      <c r="A85" s="10">
        <v>81</v>
      </c>
      <c r="B85" s="27" t="s">
        <v>62</v>
      </c>
      <c r="C85" s="27" t="s">
        <v>124</v>
      </c>
      <c r="D85" s="84">
        <v>46132</v>
      </c>
      <c r="E85" s="84">
        <v>46142</v>
      </c>
      <c r="F85" s="13">
        <f t="shared" si="10"/>
        <v>11</v>
      </c>
      <c r="G85" s="13">
        <v>300</v>
      </c>
      <c r="H85" s="41">
        <v>0</v>
      </c>
      <c r="I85" s="52">
        <f t="shared" si="11"/>
        <v>0</v>
      </c>
      <c r="J85" s="31">
        <f t="shared" si="12"/>
        <v>0</v>
      </c>
      <c r="K85" s="18" t="b">
        <f>TRUE()</f>
        <v>1</v>
      </c>
      <c r="L85" s="29">
        <f t="shared" si="13"/>
        <v>0</v>
      </c>
      <c r="M85" s="19" t="b">
        <f>TRUE()</f>
        <v>1</v>
      </c>
      <c r="N85" s="31">
        <f t="shared" si="14"/>
        <v>0</v>
      </c>
      <c r="O85" s="18" t="b">
        <f>TRUE()</f>
        <v>1</v>
      </c>
      <c r="P85" s="29">
        <f t="shared" si="15"/>
        <v>0</v>
      </c>
      <c r="Q85" s="19" t="b">
        <f>TRUE()</f>
        <v>1</v>
      </c>
      <c r="R85" s="31">
        <f t="shared" si="16"/>
        <v>0</v>
      </c>
      <c r="S85" s="18" t="b">
        <f>TRUE()</f>
        <v>1</v>
      </c>
      <c r="T85" s="29">
        <f t="shared" si="17"/>
        <v>0</v>
      </c>
      <c r="U85" s="18" t="b">
        <f>TRUE()</f>
        <v>1</v>
      </c>
      <c r="V85" s="19"/>
      <c r="W85" s="18" t="b">
        <f>FALSE()</f>
        <v>0</v>
      </c>
      <c r="X85" s="19"/>
      <c r="Y85" s="18" t="b">
        <f>FALSE()</f>
        <v>0</v>
      </c>
      <c r="Z85" s="54"/>
      <c r="AA85" s="54"/>
      <c r="AB85" s="54"/>
      <c r="AC85" s="54"/>
      <c r="AD85" s="54"/>
      <c r="AE85" s="54"/>
      <c r="AF85" s="54"/>
    </row>
    <row r="86" spans="1:32" ht="14" x14ac:dyDescent="0.25">
      <c r="A86" s="10">
        <v>82</v>
      </c>
      <c r="B86" s="27" t="s">
        <v>125</v>
      </c>
      <c r="C86" s="27"/>
      <c r="D86" s="84">
        <v>46143</v>
      </c>
      <c r="E86" s="84">
        <v>46173</v>
      </c>
      <c r="F86" s="13">
        <f t="shared" si="10"/>
        <v>31</v>
      </c>
      <c r="G86" s="13">
        <v>900</v>
      </c>
      <c r="H86" s="41">
        <v>1200</v>
      </c>
      <c r="I86" s="52">
        <f t="shared" si="11"/>
        <v>4.3010752688172046E-2</v>
      </c>
      <c r="J86" s="23">
        <f t="shared" si="12"/>
        <v>4.3010752688172046E-2</v>
      </c>
      <c r="K86" s="24" t="b">
        <f>TRUE()</f>
        <v>1</v>
      </c>
      <c r="L86" s="26" t="str">
        <f t="shared" si="13"/>
        <v/>
      </c>
      <c r="M86" s="26" t="b">
        <f>FALSE()</f>
        <v>0</v>
      </c>
      <c r="N86" s="30" t="str">
        <f t="shared" si="14"/>
        <v/>
      </c>
      <c r="O86" s="24" t="b">
        <f>FALSE()</f>
        <v>0</v>
      </c>
      <c r="P86" s="25">
        <f t="shared" si="15"/>
        <v>4.3010752688172046E-2</v>
      </c>
      <c r="Q86" s="26" t="b">
        <f>TRUE()</f>
        <v>1</v>
      </c>
      <c r="R86" s="30" t="str">
        <f t="shared" si="16"/>
        <v/>
      </c>
      <c r="S86" s="24" t="b">
        <f>FALSE()</f>
        <v>0</v>
      </c>
      <c r="T86" s="26" t="str">
        <f t="shared" si="17"/>
        <v/>
      </c>
      <c r="U86" s="24" t="b">
        <f>FALSE()</f>
        <v>0</v>
      </c>
      <c r="V86" s="26"/>
      <c r="W86" s="24" t="b">
        <f>FALSE()</f>
        <v>0</v>
      </c>
      <c r="X86" s="26"/>
      <c r="Y86" s="24" t="b">
        <f>FALSE()</f>
        <v>0</v>
      </c>
    </row>
    <row r="87" spans="1:32" ht="14" x14ac:dyDescent="0.25">
      <c r="A87" s="10">
        <v>83</v>
      </c>
      <c r="B87" s="27" t="s">
        <v>108</v>
      </c>
      <c r="C87" s="27"/>
      <c r="D87" s="84">
        <v>46143</v>
      </c>
      <c r="E87" s="84">
        <v>46173</v>
      </c>
      <c r="F87" s="13">
        <f t="shared" si="10"/>
        <v>31</v>
      </c>
      <c r="G87" s="13">
        <v>450</v>
      </c>
      <c r="H87" s="41">
        <v>600</v>
      </c>
      <c r="I87" s="52">
        <f t="shared" si="11"/>
        <v>4.3010752688172046E-2</v>
      </c>
      <c r="J87" s="17" t="str">
        <f t="shared" si="12"/>
        <v/>
      </c>
      <c r="K87" s="18" t="b">
        <f>FALSE()</f>
        <v>0</v>
      </c>
      <c r="L87" s="19" t="str">
        <f t="shared" si="13"/>
        <v/>
      </c>
      <c r="M87" s="19" t="b">
        <f>FALSE()</f>
        <v>0</v>
      </c>
      <c r="N87" s="17" t="str">
        <f t="shared" si="14"/>
        <v/>
      </c>
      <c r="O87" s="18" t="b">
        <f>FALSE()</f>
        <v>0</v>
      </c>
      <c r="P87" s="19" t="str">
        <f t="shared" si="15"/>
        <v/>
      </c>
      <c r="Q87" s="19" t="b">
        <f>FALSE()</f>
        <v>0</v>
      </c>
      <c r="R87" s="17" t="str">
        <f t="shared" si="16"/>
        <v/>
      </c>
      <c r="S87" s="18" t="b">
        <f>FALSE()</f>
        <v>0</v>
      </c>
      <c r="T87" s="29">
        <f t="shared" si="17"/>
        <v>4.3010752688172046E-2</v>
      </c>
      <c r="U87" s="18" t="b">
        <f>TRUE()</f>
        <v>1</v>
      </c>
      <c r="V87" s="19"/>
      <c r="W87" s="18" t="b">
        <f>FALSE()</f>
        <v>0</v>
      </c>
      <c r="X87" s="19"/>
      <c r="Y87" s="18" t="b">
        <f>FALSE()</f>
        <v>0</v>
      </c>
    </row>
    <row r="88" spans="1:32" ht="14" x14ac:dyDescent="0.25">
      <c r="A88" s="10">
        <v>84</v>
      </c>
      <c r="B88" s="27" t="s">
        <v>33</v>
      </c>
      <c r="C88" s="27"/>
      <c r="D88" s="84">
        <v>46143</v>
      </c>
      <c r="E88" s="84">
        <v>46173</v>
      </c>
      <c r="F88" s="13">
        <f t="shared" si="10"/>
        <v>31</v>
      </c>
      <c r="G88" s="13">
        <v>600</v>
      </c>
      <c r="H88" s="41">
        <v>1100</v>
      </c>
      <c r="I88" s="52">
        <f t="shared" si="11"/>
        <v>5.9139784946236562E-2</v>
      </c>
      <c r="J88" s="30" t="str">
        <f t="shared" si="12"/>
        <v/>
      </c>
      <c r="K88" s="24" t="b">
        <f>FALSE()</f>
        <v>0</v>
      </c>
      <c r="L88" s="26" t="str">
        <f t="shared" si="13"/>
        <v/>
      </c>
      <c r="M88" s="26" t="b">
        <f>FALSE()</f>
        <v>0</v>
      </c>
      <c r="N88" s="30" t="str">
        <f t="shared" si="14"/>
        <v/>
      </c>
      <c r="O88" s="24" t="b">
        <f>FALSE()</f>
        <v>0</v>
      </c>
      <c r="P88" s="25">
        <f t="shared" si="15"/>
        <v>5.9139784946236562E-2</v>
      </c>
      <c r="Q88" s="26" t="b">
        <f>TRUE()</f>
        <v>1</v>
      </c>
      <c r="R88" s="23">
        <f t="shared" si="16"/>
        <v>5.9139784946236562E-2</v>
      </c>
      <c r="S88" s="24" t="b">
        <f>TRUE()</f>
        <v>1</v>
      </c>
      <c r="T88" s="26" t="str">
        <f t="shared" si="17"/>
        <v/>
      </c>
      <c r="U88" s="24" t="b">
        <f>FALSE()</f>
        <v>0</v>
      </c>
      <c r="V88" s="26"/>
      <c r="W88" s="24" t="b">
        <f>FALSE()</f>
        <v>0</v>
      </c>
      <c r="X88" s="26"/>
      <c r="Y88" s="24" t="b">
        <f>FALSE()</f>
        <v>0</v>
      </c>
    </row>
    <row r="89" spans="1:32" ht="14" x14ac:dyDescent="0.25">
      <c r="A89" s="10">
        <v>85</v>
      </c>
      <c r="B89" s="27" t="s">
        <v>126</v>
      </c>
      <c r="C89" s="27"/>
      <c r="D89" s="84">
        <v>46143</v>
      </c>
      <c r="E89" s="84">
        <v>46173</v>
      </c>
      <c r="F89" s="13">
        <f t="shared" si="10"/>
        <v>31</v>
      </c>
      <c r="G89" s="13">
        <v>300</v>
      </c>
      <c r="H89" s="41">
        <v>550</v>
      </c>
      <c r="I89" s="52">
        <f t="shared" si="11"/>
        <v>5.9139784946236562E-2</v>
      </c>
      <c r="J89" s="31">
        <f t="shared" si="12"/>
        <v>5.9139784946236562E-2</v>
      </c>
      <c r="K89" s="18" t="b">
        <f>TRUE()</f>
        <v>1</v>
      </c>
      <c r="L89" s="19" t="str">
        <f t="shared" si="13"/>
        <v/>
      </c>
      <c r="M89" s="19" t="b">
        <f>FALSE()</f>
        <v>0</v>
      </c>
      <c r="N89" s="17" t="str">
        <f t="shared" si="14"/>
        <v/>
      </c>
      <c r="O89" s="18" t="b">
        <f>FALSE()</f>
        <v>0</v>
      </c>
      <c r="P89" s="19" t="str">
        <f t="shared" si="15"/>
        <v/>
      </c>
      <c r="Q89" s="19" t="b">
        <f>FALSE()</f>
        <v>0</v>
      </c>
      <c r="R89" s="17" t="str">
        <f t="shared" si="16"/>
        <v/>
      </c>
      <c r="S89" s="18" t="b">
        <f>FALSE()</f>
        <v>0</v>
      </c>
      <c r="T89" s="19" t="str">
        <f t="shared" si="17"/>
        <v/>
      </c>
      <c r="U89" s="18" t="b">
        <f>FALSE()</f>
        <v>0</v>
      </c>
      <c r="V89" s="19"/>
      <c r="W89" s="18" t="b">
        <f>FALSE()</f>
        <v>0</v>
      </c>
      <c r="X89" s="19"/>
      <c r="Y89" s="18" t="b">
        <f>FALSE()</f>
        <v>0</v>
      </c>
    </row>
    <row r="90" spans="1:32" ht="14" x14ac:dyDescent="0.25">
      <c r="A90" s="10">
        <v>86</v>
      </c>
      <c r="B90" s="27" t="s">
        <v>127</v>
      </c>
      <c r="C90" s="27" t="s">
        <v>128</v>
      </c>
      <c r="D90" s="84">
        <v>46139</v>
      </c>
      <c r="E90" s="84">
        <v>46168</v>
      </c>
      <c r="F90" s="13">
        <f t="shared" si="10"/>
        <v>30</v>
      </c>
      <c r="G90" s="13">
        <v>900</v>
      </c>
      <c r="H90" s="41">
        <v>1360</v>
      </c>
      <c r="I90" s="52">
        <f t="shared" si="11"/>
        <v>5.0370370370370371E-2</v>
      </c>
      <c r="J90" s="23">
        <f t="shared" si="12"/>
        <v>5.0370370370370371E-2</v>
      </c>
      <c r="K90" s="24" t="b">
        <f>TRUE()</f>
        <v>1</v>
      </c>
      <c r="L90" s="26" t="str">
        <f t="shared" si="13"/>
        <v/>
      </c>
      <c r="M90" s="26" t="b">
        <f>FALSE()</f>
        <v>0</v>
      </c>
      <c r="N90" s="30" t="str">
        <f t="shared" si="14"/>
        <v/>
      </c>
      <c r="O90" s="24" t="b">
        <f>FALSE()</f>
        <v>0</v>
      </c>
      <c r="P90" s="26" t="str">
        <f t="shared" si="15"/>
        <v/>
      </c>
      <c r="Q90" s="26" t="b">
        <f>FALSE()</f>
        <v>0</v>
      </c>
      <c r="R90" s="23">
        <f t="shared" si="16"/>
        <v>5.0370370370370371E-2</v>
      </c>
      <c r="S90" s="24" t="b">
        <f>TRUE()</f>
        <v>1</v>
      </c>
      <c r="T90" s="26" t="str">
        <f t="shared" si="17"/>
        <v/>
      </c>
      <c r="U90" s="24" t="b">
        <f>FALSE()</f>
        <v>0</v>
      </c>
      <c r="V90" s="26"/>
      <c r="W90" s="24" t="b">
        <f>FALSE()</f>
        <v>0</v>
      </c>
      <c r="X90" s="26"/>
      <c r="Y90" s="24" t="b">
        <f>FALSE()</f>
        <v>0</v>
      </c>
    </row>
    <row r="91" spans="1:32" ht="14" x14ac:dyDescent="0.25">
      <c r="A91" s="10">
        <v>87</v>
      </c>
      <c r="B91" s="27" t="s">
        <v>37</v>
      </c>
      <c r="C91" s="27" t="s">
        <v>129</v>
      </c>
      <c r="D91" s="84">
        <v>46139</v>
      </c>
      <c r="E91" s="84">
        <v>46142</v>
      </c>
      <c r="F91" s="13">
        <f t="shared" si="10"/>
        <v>4</v>
      </c>
      <c r="G91" s="13">
        <v>900</v>
      </c>
      <c r="H91" s="41">
        <v>180</v>
      </c>
      <c r="I91" s="52">
        <f t="shared" si="11"/>
        <v>0.05</v>
      </c>
      <c r="J91" s="17" t="str">
        <f t="shared" si="12"/>
        <v/>
      </c>
      <c r="K91" s="18" t="b">
        <f>FALSE()</f>
        <v>0</v>
      </c>
      <c r="L91" s="19" t="str">
        <f t="shared" si="13"/>
        <v/>
      </c>
      <c r="M91" s="19" t="b">
        <f>FALSE()</f>
        <v>0</v>
      </c>
      <c r="N91" s="31">
        <f t="shared" si="14"/>
        <v>0.05</v>
      </c>
      <c r="O91" s="18" t="b">
        <f>TRUE()</f>
        <v>1</v>
      </c>
      <c r="P91" s="19" t="str">
        <f t="shared" si="15"/>
        <v/>
      </c>
      <c r="Q91" s="19" t="b">
        <f>FALSE()</f>
        <v>0</v>
      </c>
      <c r="R91" s="17" t="str">
        <f t="shared" si="16"/>
        <v/>
      </c>
      <c r="S91" s="18" t="b">
        <f>FALSE()</f>
        <v>0</v>
      </c>
      <c r="T91" s="19" t="str">
        <f t="shared" si="17"/>
        <v/>
      </c>
      <c r="U91" s="18" t="b">
        <f>FALSE()</f>
        <v>0</v>
      </c>
      <c r="V91" s="19"/>
      <c r="W91" s="18" t="b">
        <f>FALSE()</f>
        <v>0</v>
      </c>
      <c r="X91" s="19"/>
      <c r="Y91" s="18" t="b">
        <f>FALSE()</f>
        <v>0</v>
      </c>
    </row>
    <row r="92" spans="1:32" ht="14" x14ac:dyDescent="0.25">
      <c r="A92" s="10">
        <v>88</v>
      </c>
      <c r="B92" s="27" t="s">
        <v>37</v>
      </c>
      <c r="C92" s="27" t="s">
        <v>129</v>
      </c>
      <c r="D92" s="84">
        <v>46143</v>
      </c>
      <c r="E92" s="84">
        <v>46153</v>
      </c>
      <c r="F92" s="13">
        <f t="shared" si="10"/>
        <v>11</v>
      </c>
      <c r="G92" s="13">
        <v>450</v>
      </c>
      <c r="H92" s="41">
        <v>247.5</v>
      </c>
      <c r="I92" s="52">
        <f t="shared" si="11"/>
        <v>0.05</v>
      </c>
      <c r="J92" s="30" t="str">
        <f t="shared" si="12"/>
        <v/>
      </c>
      <c r="K92" s="24" t="b">
        <f>FALSE()</f>
        <v>0</v>
      </c>
      <c r="L92" s="26" t="str">
        <f t="shared" si="13"/>
        <v/>
      </c>
      <c r="M92" s="26" t="b">
        <f>FALSE()</f>
        <v>0</v>
      </c>
      <c r="N92" s="23">
        <f t="shared" si="14"/>
        <v>0.05</v>
      </c>
      <c r="O92" s="24" t="b">
        <f>TRUE()</f>
        <v>1</v>
      </c>
      <c r="P92" s="26" t="str">
        <f t="shared" si="15"/>
        <v/>
      </c>
      <c r="Q92" s="26" t="b">
        <f>FALSE()</f>
        <v>0</v>
      </c>
      <c r="R92" s="30" t="str">
        <f t="shared" si="16"/>
        <v/>
      </c>
      <c r="S92" s="24" t="b">
        <f>FALSE()</f>
        <v>0</v>
      </c>
      <c r="T92" s="26" t="str">
        <f t="shared" si="17"/>
        <v/>
      </c>
      <c r="U92" s="24" t="b">
        <f>FALSE()</f>
        <v>0</v>
      </c>
      <c r="V92" s="26"/>
      <c r="W92" s="24" t="b">
        <f>FALSE()</f>
        <v>0</v>
      </c>
      <c r="X92" s="26"/>
      <c r="Y92" s="24" t="b">
        <f>FALSE()</f>
        <v>0</v>
      </c>
    </row>
    <row r="93" spans="1:32" ht="14" x14ac:dyDescent="0.25">
      <c r="A93" s="10">
        <v>89</v>
      </c>
      <c r="B93" s="27" t="s">
        <v>37</v>
      </c>
      <c r="C93" s="27" t="s">
        <v>129</v>
      </c>
      <c r="D93" s="84">
        <v>46154</v>
      </c>
      <c r="E93" s="84">
        <v>46168</v>
      </c>
      <c r="F93" s="13">
        <f t="shared" si="10"/>
        <v>15</v>
      </c>
      <c r="G93" s="13">
        <v>450</v>
      </c>
      <c r="H93" s="41">
        <v>337.5</v>
      </c>
      <c r="I93" s="52">
        <f t="shared" si="11"/>
        <v>0.05</v>
      </c>
      <c r="J93" s="17" t="str">
        <f t="shared" si="12"/>
        <v/>
      </c>
      <c r="K93" s="18" t="b">
        <f>FALSE()</f>
        <v>0</v>
      </c>
      <c r="L93" s="19" t="str">
        <f t="shared" si="13"/>
        <v/>
      </c>
      <c r="M93" s="19" t="b">
        <f>FALSE()</f>
        <v>0</v>
      </c>
      <c r="N93" s="17" t="str">
        <f t="shared" si="14"/>
        <v/>
      </c>
      <c r="O93" s="18" t="b">
        <f>FALSE()</f>
        <v>0</v>
      </c>
      <c r="P93" s="19" t="str">
        <f t="shared" si="15"/>
        <v/>
      </c>
      <c r="Q93" s="19" t="b">
        <f>FALSE()</f>
        <v>0</v>
      </c>
      <c r="R93" s="31">
        <f t="shared" si="16"/>
        <v>0.05</v>
      </c>
      <c r="S93" s="18" t="b">
        <f>TRUE()</f>
        <v>1</v>
      </c>
      <c r="T93" s="19" t="str">
        <f t="shared" si="17"/>
        <v/>
      </c>
      <c r="U93" s="18" t="b">
        <f>FALSE()</f>
        <v>0</v>
      </c>
      <c r="V93" s="19"/>
      <c r="W93" s="18" t="b">
        <f>FALSE()</f>
        <v>0</v>
      </c>
      <c r="X93" s="19"/>
      <c r="Y93" s="18" t="b">
        <f>FALSE()</f>
        <v>0</v>
      </c>
    </row>
    <row r="94" spans="1:32" ht="14" x14ac:dyDescent="0.25">
      <c r="A94" s="10">
        <v>90</v>
      </c>
      <c r="B94" s="27" t="s">
        <v>19</v>
      </c>
      <c r="C94" s="27" t="s">
        <v>57</v>
      </c>
      <c r="D94" s="84">
        <v>46143</v>
      </c>
      <c r="E94" s="84">
        <v>46173</v>
      </c>
      <c r="F94" s="13">
        <f t="shared" si="10"/>
        <v>31</v>
      </c>
      <c r="G94" s="13">
        <v>900</v>
      </c>
      <c r="H94" s="41">
        <v>1200</v>
      </c>
      <c r="I94" s="52">
        <f t="shared" si="11"/>
        <v>4.3010752688172046E-2</v>
      </c>
      <c r="J94" s="30" t="str">
        <f t="shared" si="12"/>
        <v/>
      </c>
      <c r="K94" s="24" t="b">
        <f>FALSE()</f>
        <v>0</v>
      </c>
      <c r="L94" s="26" t="str">
        <f t="shared" si="13"/>
        <v/>
      </c>
      <c r="M94" s="26" t="b">
        <f>FALSE()</f>
        <v>0</v>
      </c>
      <c r="N94" s="30" t="str">
        <f t="shared" si="14"/>
        <v/>
      </c>
      <c r="O94" s="24" t="b">
        <f>FALSE()</f>
        <v>0</v>
      </c>
      <c r="P94" s="25">
        <f t="shared" si="15"/>
        <v>4.3010752688172046E-2</v>
      </c>
      <c r="Q94" s="26" t="b">
        <f>TRUE()</f>
        <v>1</v>
      </c>
      <c r="R94" s="30" t="str">
        <f t="shared" si="16"/>
        <v/>
      </c>
      <c r="S94" s="24" t="b">
        <f>FALSE()</f>
        <v>0</v>
      </c>
      <c r="T94" s="26" t="str">
        <f t="shared" si="17"/>
        <v/>
      </c>
      <c r="U94" s="24" t="b">
        <f>FALSE()</f>
        <v>0</v>
      </c>
      <c r="V94" s="26"/>
      <c r="W94" s="24" t="b">
        <f>FALSE()</f>
        <v>0</v>
      </c>
      <c r="X94" s="26"/>
      <c r="Y94" s="24" t="b">
        <f>FALSE()</f>
        <v>0</v>
      </c>
    </row>
    <row r="95" spans="1:32" ht="14" x14ac:dyDescent="0.25">
      <c r="A95" s="10">
        <v>91</v>
      </c>
      <c r="B95" s="27" t="s">
        <v>61</v>
      </c>
      <c r="C95" s="27" t="s">
        <v>130</v>
      </c>
      <c r="D95" s="84">
        <v>46139</v>
      </c>
      <c r="E95" s="84">
        <v>46229</v>
      </c>
      <c r="F95" s="13">
        <f t="shared" si="10"/>
        <v>91</v>
      </c>
      <c r="G95" s="13">
        <v>300</v>
      </c>
      <c r="H95" s="41">
        <v>2640</v>
      </c>
      <c r="I95" s="52">
        <f t="shared" si="11"/>
        <v>9.6703296703296707E-2</v>
      </c>
      <c r="J95" s="17" t="str">
        <f t="shared" si="12"/>
        <v/>
      </c>
      <c r="K95" s="18" t="b">
        <f>FALSE()</f>
        <v>0</v>
      </c>
      <c r="L95" s="19" t="str">
        <f t="shared" si="13"/>
        <v/>
      </c>
      <c r="M95" s="19" t="b">
        <f>FALSE()</f>
        <v>0</v>
      </c>
      <c r="N95" s="17" t="str">
        <f t="shared" si="14"/>
        <v/>
      </c>
      <c r="O95" s="18" t="b">
        <f>FALSE()</f>
        <v>0</v>
      </c>
      <c r="P95" s="29">
        <f t="shared" si="15"/>
        <v>9.6703296703296707E-2</v>
      </c>
      <c r="Q95" s="19" t="b">
        <f>TRUE()</f>
        <v>1</v>
      </c>
      <c r="R95" s="17" t="str">
        <f t="shared" si="16"/>
        <v/>
      </c>
      <c r="S95" s="18" t="b">
        <f>FALSE()</f>
        <v>0</v>
      </c>
      <c r="T95" s="19" t="str">
        <f t="shared" si="17"/>
        <v/>
      </c>
      <c r="U95" s="18" t="b">
        <f>FALSE()</f>
        <v>0</v>
      </c>
      <c r="V95" s="19"/>
      <c r="W95" s="18" t="b">
        <f>FALSE()</f>
        <v>0</v>
      </c>
      <c r="X95" s="19"/>
      <c r="Y95" s="18" t="b">
        <f>FALSE()</f>
        <v>0</v>
      </c>
    </row>
    <row r="96" spans="1:32" ht="14" x14ac:dyDescent="0.25">
      <c r="A96" s="10">
        <v>92</v>
      </c>
      <c r="B96" s="27" t="s">
        <v>98</v>
      </c>
      <c r="C96" s="27" t="s">
        <v>57</v>
      </c>
      <c r="D96" s="84">
        <v>46143</v>
      </c>
      <c r="E96" s="84">
        <v>46157</v>
      </c>
      <c r="F96" s="13">
        <f t="shared" si="10"/>
        <v>15</v>
      </c>
      <c r="G96" s="13">
        <v>900</v>
      </c>
      <c r="H96" s="41">
        <v>750</v>
      </c>
      <c r="I96" s="52">
        <f t="shared" si="11"/>
        <v>5.5555555555555552E-2</v>
      </c>
      <c r="J96" s="30" t="str">
        <f t="shared" si="12"/>
        <v/>
      </c>
      <c r="K96" s="24" t="b">
        <f>FALSE()</f>
        <v>0</v>
      </c>
      <c r="L96" s="25">
        <f t="shared" si="13"/>
        <v>5.5555555555555552E-2</v>
      </c>
      <c r="M96" s="26" t="b">
        <f>TRUE()</f>
        <v>1</v>
      </c>
      <c r="N96" s="23">
        <f t="shared" si="14"/>
        <v>5.5555555555555552E-2</v>
      </c>
      <c r="O96" s="24" t="b">
        <f>TRUE()</f>
        <v>1</v>
      </c>
      <c r="P96" s="26" t="str">
        <f t="shared" si="15"/>
        <v/>
      </c>
      <c r="Q96" s="26" t="b">
        <f>FALSE()</f>
        <v>0</v>
      </c>
      <c r="R96" s="30" t="str">
        <f t="shared" si="16"/>
        <v/>
      </c>
      <c r="S96" s="24" t="b">
        <f>FALSE()</f>
        <v>0</v>
      </c>
      <c r="T96" s="26" t="str">
        <f t="shared" si="17"/>
        <v/>
      </c>
      <c r="U96" s="24" t="b">
        <f>FALSE()</f>
        <v>0</v>
      </c>
      <c r="V96" s="26"/>
      <c r="W96" s="24" t="b">
        <f>FALSE()</f>
        <v>0</v>
      </c>
      <c r="X96" s="26"/>
      <c r="Y96" s="24" t="b">
        <f>FALSE()</f>
        <v>0</v>
      </c>
    </row>
    <row r="97" spans="1:32" ht="14" x14ac:dyDescent="0.25">
      <c r="A97" s="10">
        <v>93</v>
      </c>
      <c r="B97" s="27" t="s">
        <v>98</v>
      </c>
      <c r="C97" s="27" t="s">
        <v>57</v>
      </c>
      <c r="D97" s="84">
        <v>46158</v>
      </c>
      <c r="E97" s="84">
        <v>46173</v>
      </c>
      <c r="F97" s="13">
        <f t="shared" si="10"/>
        <v>16</v>
      </c>
      <c r="G97" s="13">
        <v>900</v>
      </c>
      <c r="H97" s="41">
        <v>750</v>
      </c>
      <c r="I97" s="52">
        <f t="shared" si="11"/>
        <v>5.2083333333333336E-2</v>
      </c>
      <c r="J97" s="17" t="str">
        <f t="shared" si="12"/>
        <v/>
      </c>
      <c r="K97" s="18" t="b">
        <f>FALSE()</f>
        <v>0</v>
      </c>
      <c r="L97" s="19" t="str">
        <f t="shared" si="13"/>
        <v/>
      </c>
      <c r="M97" s="19" t="b">
        <f>FALSE()</f>
        <v>0</v>
      </c>
      <c r="N97" s="17" t="str">
        <f t="shared" si="14"/>
        <v/>
      </c>
      <c r="O97" s="18" t="b">
        <f>FALSE()</f>
        <v>0</v>
      </c>
      <c r="P97" s="29">
        <f t="shared" si="15"/>
        <v>5.2083333333333336E-2</v>
      </c>
      <c r="Q97" s="19" t="b">
        <f>TRUE()</f>
        <v>1</v>
      </c>
      <c r="R97" s="31">
        <f t="shared" si="16"/>
        <v>5.2083333333333336E-2</v>
      </c>
      <c r="S97" s="18" t="b">
        <f>TRUE()</f>
        <v>1</v>
      </c>
      <c r="T97" s="19" t="str">
        <f t="shared" si="17"/>
        <v/>
      </c>
      <c r="U97" s="18" t="b">
        <f>FALSE()</f>
        <v>0</v>
      </c>
      <c r="V97" s="19"/>
      <c r="W97" s="18" t="b">
        <f>FALSE()</f>
        <v>0</v>
      </c>
      <c r="X97" s="19"/>
      <c r="Y97" s="18" t="b">
        <f>FALSE()</f>
        <v>0</v>
      </c>
    </row>
    <row r="98" spans="1:32" ht="14" x14ac:dyDescent="0.3">
      <c r="A98" s="10">
        <v>94</v>
      </c>
      <c r="B98" s="27" t="s">
        <v>62</v>
      </c>
      <c r="C98" s="27" t="s">
        <v>131</v>
      </c>
      <c r="D98" s="84">
        <v>46141</v>
      </c>
      <c r="E98" s="84">
        <v>46173</v>
      </c>
      <c r="F98" s="13">
        <f t="shared" si="10"/>
        <v>33</v>
      </c>
      <c r="G98" s="13">
        <v>1800</v>
      </c>
      <c r="H98" s="41">
        <v>0</v>
      </c>
      <c r="I98" s="52">
        <f t="shared" si="11"/>
        <v>0</v>
      </c>
      <c r="J98" s="23">
        <f t="shared" si="12"/>
        <v>0</v>
      </c>
      <c r="K98" s="24" t="b">
        <f>TRUE()</f>
        <v>1</v>
      </c>
      <c r="L98" s="25">
        <f t="shared" si="13"/>
        <v>0</v>
      </c>
      <c r="M98" s="26" t="b">
        <f>TRUE()</f>
        <v>1</v>
      </c>
      <c r="N98" s="23">
        <f t="shared" si="14"/>
        <v>0</v>
      </c>
      <c r="O98" s="24" t="b">
        <f>TRUE()</f>
        <v>1</v>
      </c>
      <c r="P98" s="25">
        <f t="shared" si="15"/>
        <v>0</v>
      </c>
      <c r="Q98" s="26" t="b">
        <f>TRUE()</f>
        <v>1</v>
      </c>
      <c r="R98" s="23">
        <f t="shared" si="16"/>
        <v>0</v>
      </c>
      <c r="S98" s="24" t="b">
        <f>TRUE()</f>
        <v>1</v>
      </c>
      <c r="T98" s="25">
        <f t="shared" si="17"/>
        <v>0</v>
      </c>
      <c r="U98" s="24" t="b">
        <f>TRUE()</f>
        <v>1</v>
      </c>
      <c r="V98" s="26"/>
      <c r="W98" s="24" t="b">
        <f>FALSE()</f>
        <v>0</v>
      </c>
      <c r="X98" s="26"/>
      <c r="Y98" s="24" t="b">
        <f>FALSE()</f>
        <v>0</v>
      </c>
      <c r="Z98" s="54"/>
      <c r="AA98" s="54"/>
      <c r="AB98" s="54"/>
      <c r="AC98" s="54"/>
      <c r="AD98" s="54"/>
      <c r="AE98" s="54"/>
      <c r="AF98" s="54"/>
    </row>
    <row r="99" spans="1:32" ht="14" x14ac:dyDescent="0.3">
      <c r="A99" s="10">
        <v>95</v>
      </c>
      <c r="B99" s="27" t="s">
        <v>98</v>
      </c>
      <c r="C99" s="27" t="s">
        <v>57</v>
      </c>
      <c r="D99" s="84">
        <v>46143</v>
      </c>
      <c r="E99" s="84">
        <v>46173</v>
      </c>
      <c r="F99" s="13">
        <f t="shared" si="10"/>
        <v>31</v>
      </c>
      <c r="G99" s="13">
        <v>300</v>
      </c>
      <c r="H99" s="41">
        <v>0</v>
      </c>
      <c r="I99" s="52">
        <f t="shared" si="11"/>
        <v>0</v>
      </c>
      <c r="J99" s="17" t="str">
        <f t="shared" si="12"/>
        <v/>
      </c>
      <c r="K99" s="18" t="b">
        <f>FALSE()</f>
        <v>0</v>
      </c>
      <c r="L99" s="19" t="str">
        <f t="shared" si="13"/>
        <v/>
      </c>
      <c r="M99" s="19" t="b">
        <f>FALSE()</f>
        <v>0</v>
      </c>
      <c r="N99" s="17" t="str">
        <f t="shared" si="14"/>
        <v/>
      </c>
      <c r="O99" s="18" t="b">
        <f>FALSE()</f>
        <v>0</v>
      </c>
      <c r="P99" s="19" t="str">
        <f t="shared" si="15"/>
        <v/>
      </c>
      <c r="Q99" s="19" t="b">
        <f>FALSE()</f>
        <v>0</v>
      </c>
      <c r="R99" s="17" t="str">
        <f t="shared" si="16"/>
        <v/>
      </c>
      <c r="S99" s="18" t="b">
        <f>FALSE()</f>
        <v>0</v>
      </c>
      <c r="T99" s="29">
        <f t="shared" si="17"/>
        <v>0</v>
      </c>
      <c r="U99" s="18" t="b">
        <f>TRUE()</f>
        <v>1</v>
      </c>
      <c r="V99" s="19"/>
      <c r="W99" s="18" t="b">
        <f>FALSE()</f>
        <v>0</v>
      </c>
      <c r="X99" s="19"/>
      <c r="Y99" s="18" t="b">
        <f>FALSE()</f>
        <v>0</v>
      </c>
      <c r="Z99" s="54"/>
      <c r="AA99" s="54"/>
      <c r="AB99" s="54"/>
      <c r="AC99" s="54"/>
      <c r="AD99" s="54"/>
      <c r="AE99" s="54"/>
      <c r="AF99" s="54"/>
    </row>
    <row r="100" spans="1:32" ht="14" x14ac:dyDescent="0.25">
      <c r="A100" s="10">
        <v>96</v>
      </c>
      <c r="B100" s="27" t="s">
        <v>132</v>
      </c>
      <c r="C100" s="27" t="s">
        <v>57</v>
      </c>
      <c r="D100" s="84">
        <v>46142</v>
      </c>
      <c r="E100" s="84">
        <v>46171</v>
      </c>
      <c r="F100" s="13">
        <f t="shared" si="10"/>
        <v>30</v>
      </c>
      <c r="G100" s="13">
        <v>1800</v>
      </c>
      <c r="H100" s="41">
        <v>3240</v>
      </c>
      <c r="I100" s="52">
        <f t="shared" si="11"/>
        <v>0.06</v>
      </c>
      <c r="J100" s="30" t="str">
        <f t="shared" si="12"/>
        <v/>
      </c>
      <c r="K100" s="24" t="b">
        <f>FALSE()</f>
        <v>0</v>
      </c>
      <c r="L100" s="25">
        <f t="shared" si="13"/>
        <v>0.06</v>
      </c>
      <c r="M100" s="26" t="b">
        <f>TRUE()</f>
        <v>1</v>
      </c>
      <c r="N100" s="23">
        <f t="shared" si="14"/>
        <v>0.06</v>
      </c>
      <c r="O100" s="24" t="b">
        <f>TRUE()</f>
        <v>1</v>
      </c>
      <c r="P100" s="25">
        <f t="shared" si="15"/>
        <v>0.06</v>
      </c>
      <c r="Q100" s="26" t="b">
        <f>TRUE()</f>
        <v>1</v>
      </c>
      <c r="R100" s="23">
        <f t="shared" si="16"/>
        <v>0.06</v>
      </c>
      <c r="S100" s="24" t="b">
        <f>TRUE()</f>
        <v>1</v>
      </c>
      <c r="T100" s="26" t="str">
        <f t="shared" si="17"/>
        <v/>
      </c>
      <c r="U100" s="24" t="b">
        <f>FALSE()</f>
        <v>0</v>
      </c>
      <c r="V100" s="26"/>
      <c r="W100" s="24" t="b">
        <f>FALSE()</f>
        <v>0</v>
      </c>
      <c r="X100" s="26"/>
      <c r="Y100" s="24" t="b">
        <f>FALSE()</f>
        <v>0</v>
      </c>
    </row>
    <row r="101" spans="1:32" ht="14" x14ac:dyDescent="0.3">
      <c r="A101" s="10">
        <v>97</v>
      </c>
      <c r="B101" s="27" t="s">
        <v>133</v>
      </c>
      <c r="C101" s="27" t="s">
        <v>134</v>
      </c>
      <c r="D101" s="84">
        <v>46143</v>
      </c>
      <c r="E101" s="84">
        <v>46144</v>
      </c>
      <c r="F101" s="13">
        <f t="shared" si="10"/>
        <v>2</v>
      </c>
      <c r="G101" s="13">
        <v>5400</v>
      </c>
      <c r="H101" s="41">
        <v>0</v>
      </c>
      <c r="I101" s="52">
        <f t="shared" ref="I101:I132" si="18">IFERROR(H101/(F101*G101),"")</f>
        <v>0</v>
      </c>
      <c r="J101" s="31">
        <f t="shared" si="12"/>
        <v>0</v>
      </c>
      <c r="K101" s="18" t="b">
        <f>TRUE()</f>
        <v>1</v>
      </c>
      <c r="L101" s="29">
        <f t="shared" si="13"/>
        <v>0</v>
      </c>
      <c r="M101" s="19" t="b">
        <f>TRUE()</f>
        <v>1</v>
      </c>
      <c r="N101" s="31">
        <f t="shared" si="14"/>
        <v>0</v>
      </c>
      <c r="O101" s="18" t="b">
        <f>TRUE()</f>
        <v>1</v>
      </c>
      <c r="P101" s="29">
        <f t="shared" si="15"/>
        <v>0</v>
      </c>
      <c r="Q101" s="19" t="b">
        <f>TRUE()</f>
        <v>1</v>
      </c>
      <c r="R101" s="31">
        <f t="shared" si="16"/>
        <v>0</v>
      </c>
      <c r="S101" s="18" t="b">
        <f>TRUE()</f>
        <v>1</v>
      </c>
      <c r="T101" s="29">
        <f t="shared" ref="T101:T132" si="19">IF(U101=TRUE(),$I101,"")</f>
        <v>0</v>
      </c>
      <c r="U101" s="18" t="b">
        <f>TRUE()</f>
        <v>1</v>
      </c>
      <c r="V101" s="19"/>
      <c r="W101" s="18" t="b">
        <f>FALSE()</f>
        <v>0</v>
      </c>
      <c r="X101" s="19"/>
      <c r="Y101" s="18" t="b">
        <f>FALSE()</f>
        <v>0</v>
      </c>
      <c r="Z101" s="54"/>
      <c r="AA101" s="54"/>
      <c r="AB101" s="54"/>
      <c r="AC101" s="54"/>
      <c r="AD101" s="54"/>
      <c r="AE101" s="54"/>
      <c r="AF101" s="54"/>
    </row>
    <row r="102" spans="1:32" ht="14" x14ac:dyDescent="0.25">
      <c r="A102" s="10">
        <v>98</v>
      </c>
      <c r="B102" s="27" t="s">
        <v>135</v>
      </c>
      <c r="C102" s="27" t="s">
        <v>136</v>
      </c>
      <c r="D102" s="84">
        <v>46142</v>
      </c>
      <c r="E102" s="84">
        <v>46171</v>
      </c>
      <c r="F102" s="13">
        <f t="shared" si="10"/>
        <v>30</v>
      </c>
      <c r="G102" s="13">
        <v>900</v>
      </c>
      <c r="H102" s="41">
        <v>1500</v>
      </c>
      <c r="I102" s="52">
        <f t="shared" si="18"/>
        <v>5.5555555555555552E-2</v>
      </c>
      <c r="J102" s="23">
        <f t="shared" si="12"/>
        <v>5.5555555555555552E-2</v>
      </c>
      <c r="K102" s="24" t="b">
        <f>TRUE()</f>
        <v>1</v>
      </c>
      <c r="L102" s="26" t="str">
        <f t="shared" si="13"/>
        <v/>
      </c>
      <c r="M102" s="26" t="b">
        <f>FALSE()</f>
        <v>0</v>
      </c>
      <c r="N102" s="30" t="str">
        <f t="shared" si="14"/>
        <v/>
      </c>
      <c r="O102" s="24" t="b">
        <f>FALSE()</f>
        <v>0</v>
      </c>
      <c r="P102" s="26" t="str">
        <f t="shared" si="15"/>
        <v/>
      </c>
      <c r="Q102" s="26" t="b">
        <f>FALSE()</f>
        <v>0</v>
      </c>
      <c r="R102" s="30" t="str">
        <f t="shared" si="16"/>
        <v/>
      </c>
      <c r="S102" s="24" t="b">
        <f>FALSE()</f>
        <v>0</v>
      </c>
      <c r="T102" s="26" t="str">
        <f t="shared" si="19"/>
        <v/>
      </c>
      <c r="U102" s="24" t="b">
        <f>FALSE()</f>
        <v>0</v>
      </c>
      <c r="V102" s="26"/>
      <c r="W102" s="24" t="b">
        <f>FALSE()</f>
        <v>0</v>
      </c>
      <c r="X102" s="26"/>
      <c r="Y102" s="24" t="b">
        <f>FALSE()</f>
        <v>0</v>
      </c>
    </row>
    <row r="103" spans="1:32" ht="14" x14ac:dyDescent="0.25">
      <c r="A103" s="10">
        <v>99</v>
      </c>
      <c r="B103" s="27" t="s">
        <v>137</v>
      </c>
      <c r="C103" s="27" t="s">
        <v>57</v>
      </c>
      <c r="D103" s="84">
        <v>46143</v>
      </c>
      <c r="E103" s="84">
        <v>46173</v>
      </c>
      <c r="F103" s="13">
        <f t="shared" si="10"/>
        <v>31</v>
      </c>
      <c r="G103" s="13">
        <v>900</v>
      </c>
      <c r="H103" s="41">
        <v>1200</v>
      </c>
      <c r="I103" s="52">
        <f t="shared" si="18"/>
        <v>4.3010752688172046E-2</v>
      </c>
      <c r="J103" s="17" t="str">
        <f t="shared" si="12"/>
        <v/>
      </c>
      <c r="K103" s="18" t="b">
        <f>FALSE()</f>
        <v>0</v>
      </c>
      <c r="L103" s="19" t="str">
        <f t="shared" si="13"/>
        <v/>
      </c>
      <c r="M103" s="19" t="b">
        <f>FALSE()</f>
        <v>0</v>
      </c>
      <c r="N103" s="17" t="str">
        <f t="shared" si="14"/>
        <v/>
      </c>
      <c r="O103" s="18" t="b">
        <f>FALSE()</f>
        <v>0</v>
      </c>
      <c r="P103" s="29">
        <f t="shared" si="15"/>
        <v>4.3010752688172046E-2</v>
      </c>
      <c r="Q103" s="19" t="b">
        <f>TRUE()</f>
        <v>1</v>
      </c>
      <c r="R103" s="17" t="str">
        <f t="shared" si="16"/>
        <v/>
      </c>
      <c r="S103" s="18" t="b">
        <f>FALSE()</f>
        <v>0</v>
      </c>
      <c r="T103" s="29">
        <f t="shared" si="19"/>
        <v>4.3010752688172046E-2</v>
      </c>
      <c r="U103" s="18" t="b">
        <f>TRUE()</f>
        <v>1</v>
      </c>
      <c r="V103" s="19"/>
      <c r="W103" s="18" t="b">
        <f>FALSE()</f>
        <v>0</v>
      </c>
      <c r="X103" s="19"/>
      <c r="Y103" s="18" t="b">
        <f>FALSE()</f>
        <v>0</v>
      </c>
    </row>
    <row r="104" spans="1:32" ht="14" x14ac:dyDescent="0.25">
      <c r="A104" s="10">
        <v>100</v>
      </c>
      <c r="B104" s="27" t="s">
        <v>70</v>
      </c>
      <c r="C104" s="27" t="s">
        <v>57</v>
      </c>
      <c r="D104" s="84">
        <v>46146</v>
      </c>
      <c r="E104" s="84">
        <v>46173</v>
      </c>
      <c r="F104" s="13">
        <f t="shared" si="10"/>
        <v>28</v>
      </c>
      <c r="G104" s="13">
        <v>900</v>
      </c>
      <c r="H104" s="41">
        <v>1415</v>
      </c>
      <c r="I104" s="52">
        <f t="shared" si="18"/>
        <v>5.6150793650793653E-2</v>
      </c>
      <c r="J104" s="30" t="str">
        <f t="shared" si="12"/>
        <v/>
      </c>
      <c r="K104" s="24" t="b">
        <f>FALSE()</f>
        <v>0</v>
      </c>
      <c r="L104" s="25">
        <f t="shared" si="13"/>
        <v>5.6150793650793653E-2</v>
      </c>
      <c r="M104" s="26" t="b">
        <f>TRUE()</f>
        <v>1</v>
      </c>
      <c r="N104" s="30" t="str">
        <f t="shared" si="14"/>
        <v/>
      </c>
      <c r="O104" s="24" t="b">
        <f>FALSE()</f>
        <v>0</v>
      </c>
      <c r="P104" s="26" t="str">
        <f t="shared" si="15"/>
        <v/>
      </c>
      <c r="Q104" s="26" t="b">
        <f>FALSE()</f>
        <v>0</v>
      </c>
      <c r="R104" s="30" t="str">
        <f t="shared" si="16"/>
        <v/>
      </c>
      <c r="S104" s="24" t="b">
        <f>FALSE()</f>
        <v>0</v>
      </c>
      <c r="T104" s="25">
        <f t="shared" si="19"/>
        <v>5.6150793650793653E-2</v>
      </c>
      <c r="U104" s="24" t="b">
        <f>TRUE()</f>
        <v>1</v>
      </c>
      <c r="V104" s="26"/>
      <c r="W104" s="24" t="b">
        <f>FALSE()</f>
        <v>0</v>
      </c>
      <c r="X104" s="26"/>
      <c r="Y104" s="24" t="b">
        <f>FALSE()</f>
        <v>0</v>
      </c>
    </row>
    <row r="105" spans="1:32" ht="14" x14ac:dyDescent="0.25">
      <c r="A105" s="10">
        <v>101</v>
      </c>
      <c r="B105" s="27" t="s">
        <v>19</v>
      </c>
      <c r="C105" s="27" t="s">
        <v>57</v>
      </c>
      <c r="D105" s="84">
        <v>46143</v>
      </c>
      <c r="E105" s="84">
        <v>46173</v>
      </c>
      <c r="F105" s="13">
        <f t="shared" si="10"/>
        <v>31</v>
      </c>
      <c r="G105" s="13">
        <v>900</v>
      </c>
      <c r="H105" s="41">
        <v>1200</v>
      </c>
      <c r="I105" s="52">
        <f t="shared" si="18"/>
        <v>4.3010752688172046E-2</v>
      </c>
      <c r="J105" s="17" t="str">
        <f t="shared" si="12"/>
        <v/>
      </c>
      <c r="K105" s="18" t="b">
        <f>FALSE()</f>
        <v>0</v>
      </c>
      <c r="L105" s="19" t="str">
        <f t="shared" si="13"/>
        <v/>
      </c>
      <c r="M105" s="19" t="b">
        <f>FALSE()</f>
        <v>0</v>
      </c>
      <c r="N105" s="17" t="str">
        <f t="shared" si="14"/>
        <v/>
      </c>
      <c r="O105" s="18" t="b">
        <f>FALSE()</f>
        <v>0</v>
      </c>
      <c r="P105" s="29">
        <f t="shared" si="15"/>
        <v>4.3010752688172046E-2</v>
      </c>
      <c r="Q105" s="19" t="b">
        <f>TRUE()</f>
        <v>1</v>
      </c>
      <c r="R105" s="17" t="str">
        <f t="shared" si="16"/>
        <v/>
      </c>
      <c r="S105" s="18" t="b">
        <f>FALSE()</f>
        <v>0</v>
      </c>
      <c r="T105" s="19" t="str">
        <f t="shared" si="19"/>
        <v/>
      </c>
      <c r="U105" s="18" t="b">
        <f>FALSE()</f>
        <v>0</v>
      </c>
      <c r="V105" s="19"/>
      <c r="W105" s="18" t="b">
        <f>FALSE()</f>
        <v>0</v>
      </c>
      <c r="X105" s="19"/>
      <c r="Y105" s="18" t="b">
        <f>FALSE()</f>
        <v>0</v>
      </c>
    </row>
    <row r="106" spans="1:32" ht="14" x14ac:dyDescent="0.25">
      <c r="A106" s="10">
        <v>102</v>
      </c>
      <c r="B106" s="27" t="s">
        <v>138</v>
      </c>
      <c r="C106" s="27" t="s">
        <v>139</v>
      </c>
      <c r="D106" s="84">
        <v>46146</v>
      </c>
      <c r="E106" s="84">
        <v>46173</v>
      </c>
      <c r="F106" s="13">
        <f t="shared" si="10"/>
        <v>28</v>
      </c>
      <c r="G106" s="13">
        <v>300</v>
      </c>
      <c r="H106" s="41">
        <v>720</v>
      </c>
      <c r="I106" s="52">
        <f t="shared" si="18"/>
        <v>8.5714285714285715E-2</v>
      </c>
      <c r="J106" s="30" t="str">
        <f t="shared" si="12"/>
        <v/>
      </c>
      <c r="K106" s="24" t="b">
        <f>FALSE()</f>
        <v>0</v>
      </c>
      <c r="L106" s="26" t="str">
        <f t="shared" si="13"/>
        <v/>
      </c>
      <c r="M106" s="26" t="b">
        <f>FALSE()</f>
        <v>0</v>
      </c>
      <c r="N106" s="30" t="str">
        <f t="shared" si="14"/>
        <v/>
      </c>
      <c r="O106" s="24" t="b">
        <f>FALSE()</f>
        <v>0</v>
      </c>
      <c r="P106" s="25">
        <f t="shared" si="15"/>
        <v>8.5714285714285715E-2</v>
      </c>
      <c r="Q106" s="26" t="b">
        <f>TRUE()</f>
        <v>1</v>
      </c>
      <c r="R106" s="30" t="str">
        <f t="shared" si="16"/>
        <v/>
      </c>
      <c r="S106" s="24" t="b">
        <f>FALSE()</f>
        <v>0</v>
      </c>
      <c r="T106" s="26" t="str">
        <f t="shared" si="19"/>
        <v/>
      </c>
      <c r="U106" s="24" t="b">
        <f>FALSE()</f>
        <v>0</v>
      </c>
      <c r="V106" s="26"/>
      <c r="W106" s="24" t="b">
        <f>FALSE()</f>
        <v>0</v>
      </c>
      <c r="X106" s="26"/>
      <c r="Y106" s="24" t="b">
        <f>FALSE()</f>
        <v>0</v>
      </c>
    </row>
    <row r="107" spans="1:32" ht="14" x14ac:dyDescent="0.25">
      <c r="A107" s="10">
        <v>103</v>
      </c>
      <c r="B107" s="27" t="s">
        <v>140</v>
      </c>
      <c r="C107" s="27" t="s">
        <v>57</v>
      </c>
      <c r="D107" s="84">
        <v>46143</v>
      </c>
      <c r="E107" s="84">
        <v>46173</v>
      </c>
      <c r="F107" s="13">
        <f t="shared" si="10"/>
        <v>31</v>
      </c>
      <c r="G107" s="13">
        <v>2400</v>
      </c>
      <c r="H107" s="41">
        <v>4100</v>
      </c>
      <c r="I107" s="52">
        <f t="shared" si="18"/>
        <v>5.510752688172043E-2</v>
      </c>
      <c r="J107" s="31">
        <f t="shared" si="12"/>
        <v>5.510752688172043E-2</v>
      </c>
      <c r="K107" s="18" t="b">
        <f>TRUE()</f>
        <v>1</v>
      </c>
      <c r="L107" s="29">
        <f t="shared" si="13"/>
        <v>5.510752688172043E-2</v>
      </c>
      <c r="M107" s="19" t="b">
        <f>TRUE()</f>
        <v>1</v>
      </c>
      <c r="N107" s="31">
        <f t="shared" si="14"/>
        <v>5.510752688172043E-2</v>
      </c>
      <c r="O107" s="18" t="b">
        <f>TRUE()</f>
        <v>1</v>
      </c>
      <c r="P107" s="19" t="str">
        <f t="shared" si="15"/>
        <v/>
      </c>
      <c r="Q107" s="19" t="b">
        <f>FALSE()</f>
        <v>0</v>
      </c>
      <c r="R107" s="31">
        <f t="shared" si="16"/>
        <v>5.510752688172043E-2</v>
      </c>
      <c r="S107" s="18" t="b">
        <f>TRUE()</f>
        <v>1</v>
      </c>
      <c r="T107" s="19" t="str">
        <f t="shared" si="19"/>
        <v/>
      </c>
      <c r="U107" s="18" t="b">
        <f>FALSE()</f>
        <v>0</v>
      </c>
      <c r="V107" s="19" t="str">
        <f t="shared" ref="V107:V113" si="20">IF(W107=TRUE(),$I107,"")</f>
        <v/>
      </c>
      <c r="W107" s="18" t="b">
        <f>FALSE()</f>
        <v>0</v>
      </c>
      <c r="X107" s="19"/>
      <c r="Y107" s="18" t="b">
        <f>FALSE()</f>
        <v>0</v>
      </c>
    </row>
    <row r="108" spans="1:32" ht="14" x14ac:dyDescent="0.25">
      <c r="A108" s="10">
        <v>104</v>
      </c>
      <c r="B108" s="27" t="s">
        <v>141</v>
      </c>
      <c r="C108" s="27"/>
      <c r="D108" s="84">
        <v>46151</v>
      </c>
      <c r="E108" s="84">
        <v>46181</v>
      </c>
      <c r="F108" s="13">
        <f t="shared" si="10"/>
        <v>31</v>
      </c>
      <c r="G108" s="13">
        <v>300</v>
      </c>
      <c r="H108" s="41">
        <v>550</v>
      </c>
      <c r="I108" s="52">
        <f t="shared" si="18"/>
        <v>5.9139784946236562E-2</v>
      </c>
      <c r="J108" s="30" t="str">
        <f t="shared" si="12"/>
        <v/>
      </c>
      <c r="K108" s="24" t="b">
        <f>FALSE()</f>
        <v>0</v>
      </c>
      <c r="L108" s="26" t="str">
        <f t="shared" si="13"/>
        <v/>
      </c>
      <c r="M108" s="26" t="b">
        <f>FALSE()</f>
        <v>0</v>
      </c>
      <c r="N108" s="23">
        <f t="shared" si="14"/>
        <v>5.9139784946236562E-2</v>
      </c>
      <c r="O108" s="24" t="b">
        <f>TRUE()</f>
        <v>1</v>
      </c>
      <c r="P108" s="26" t="str">
        <f t="shared" si="15"/>
        <v/>
      </c>
      <c r="Q108" s="26" t="b">
        <f>FALSE()</f>
        <v>0</v>
      </c>
      <c r="R108" s="30" t="str">
        <f t="shared" si="16"/>
        <v/>
      </c>
      <c r="S108" s="24" t="b">
        <f>FALSE()</f>
        <v>0</v>
      </c>
      <c r="T108" s="26" t="str">
        <f t="shared" si="19"/>
        <v/>
      </c>
      <c r="U108" s="24" t="b">
        <f>FALSE()</f>
        <v>0</v>
      </c>
      <c r="V108" s="26" t="str">
        <f t="shared" si="20"/>
        <v/>
      </c>
      <c r="W108" s="24" t="b">
        <f>FALSE()</f>
        <v>0</v>
      </c>
      <c r="X108" s="26"/>
      <c r="Y108" s="24" t="b">
        <f>FALSE()</f>
        <v>0</v>
      </c>
    </row>
    <row r="109" spans="1:32" ht="14" x14ac:dyDescent="0.25">
      <c r="A109" s="10">
        <v>105</v>
      </c>
      <c r="B109" s="27" t="s">
        <v>142</v>
      </c>
      <c r="C109" s="27" t="s">
        <v>143</v>
      </c>
      <c r="D109" s="84">
        <v>46148</v>
      </c>
      <c r="E109" s="84">
        <v>46153</v>
      </c>
      <c r="F109" s="13">
        <f t="shared" si="10"/>
        <v>6</v>
      </c>
      <c r="G109" s="13">
        <v>450</v>
      </c>
      <c r="H109" s="41">
        <v>225</v>
      </c>
      <c r="I109" s="52">
        <f t="shared" si="18"/>
        <v>8.3333333333333329E-2</v>
      </c>
      <c r="J109" s="17" t="str">
        <f t="shared" si="12"/>
        <v/>
      </c>
      <c r="K109" s="18" t="b">
        <f>FALSE()</f>
        <v>0</v>
      </c>
      <c r="L109" s="29">
        <f t="shared" si="13"/>
        <v>8.3333333333333329E-2</v>
      </c>
      <c r="M109" s="19" t="b">
        <f>TRUE()</f>
        <v>1</v>
      </c>
      <c r="N109" s="17" t="str">
        <f t="shared" si="14"/>
        <v/>
      </c>
      <c r="O109" s="18" t="b">
        <f>FALSE()</f>
        <v>0</v>
      </c>
      <c r="P109" s="19" t="str">
        <f t="shared" si="15"/>
        <v/>
      </c>
      <c r="Q109" s="19" t="b">
        <f>FALSE()</f>
        <v>0</v>
      </c>
      <c r="R109" s="17" t="str">
        <f t="shared" si="16"/>
        <v/>
      </c>
      <c r="S109" s="18" t="b">
        <f>FALSE()</f>
        <v>0</v>
      </c>
      <c r="T109" s="19" t="str">
        <f t="shared" si="19"/>
        <v/>
      </c>
      <c r="U109" s="18" t="b">
        <f>FALSE()</f>
        <v>0</v>
      </c>
      <c r="V109" s="19" t="str">
        <f t="shared" si="20"/>
        <v/>
      </c>
      <c r="W109" s="18" t="b">
        <f>FALSE()</f>
        <v>0</v>
      </c>
      <c r="X109" s="19"/>
      <c r="Y109" s="18" t="b">
        <f>FALSE()</f>
        <v>0</v>
      </c>
    </row>
    <row r="110" spans="1:32" ht="14" x14ac:dyDescent="0.25">
      <c r="A110" s="10">
        <v>106</v>
      </c>
      <c r="B110" s="27" t="s">
        <v>51</v>
      </c>
      <c r="C110" s="27"/>
      <c r="D110" s="84">
        <v>46160</v>
      </c>
      <c r="E110" s="84">
        <v>46190</v>
      </c>
      <c r="F110" s="13">
        <f t="shared" si="10"/>
        <v>31</v>
      </c>
      <c r="G110" s="13">
        <v>300</v>
      </c>
      <c r="H110" s="41">
        <v>550</v>
      </c>
      <c r="I110" s="52">
        <f t="shared" si="18"/>
        <v>5.9139784946236562E-2</v>
      </c>
      <c r="J110" s="30" t="str">
        <f t="shared" si="12"/>
        <v/>
      </c>
      <c r="K110" s="24" t="b">
        <f>FALSE()</f>
        <v>0</v>
      </c>
      <c r="L110" s="26" t="str">
        <f t="shared" si="13"/>
        <v/>
      </c>
      <c r="M110" s="26" t="b">
        <f>FALSE()</f>
        <v>0</v>
      </c>
      <c r="N110" s="30" t="str">
        <f t="shared" si="14"/>
        <v/>
      </c>
      <c r="O110" s="24" t="b">
        <f>FALSE()</f>
        <v>0</v>
      </c>
      <c r="P110" s="25">
        <f t="shared" si="15"/>
        <v>5.9139784946236562E-2</v>
      </c>
      <c r="Q110" s="26" t="b">
        <f>TRUE()</f>
        <v>1</v>
      </c>
      <c r="R110" s="30" t="str">
        <f t="shared" si="16"/>
        <v/>
      </c>
      <c r="S110" s="24" t="b">
        <f>FALSE()</f>
        <v>0</v>
      </c>
      <c r="T110" s="26" t="str">
        <f t="shared" si="19"/>
        <v/>
      </c>
      <c r="U110" s="24" t="b">
        <f>FALSE()</f>
        <v>0</v>
      </c>
      <c r="V110" s="26" t="str">
        <f t="shared" si="20"/>
        <v/>
      </c>
      <c r="W110" s="24" t="b">
        <f>FALSE()</f>
        <v>0</v>
      </c>
      <c r="X110" s="26"/>
      <c r="Y110" s="24" t="b">
        <f>FALSE()</f>
        <v>0</v>
      </c>
    </row>
    <row r="111" spans="1:32" ht="14" x14ac:dyDescent="0.25">
      <c r="A111" s="10">
        <v>107</v>
      </c>
      <c r="B111" s="27" t="s">
        <v>144</v>
      </c>
      <c r="C111" s="27" t="s">
        <v>145</v>
      </c>
      <c r="D111" s="84">
        <v>46149</v>
      </c>
      <c r="E111" s="84">
        <v>46179</v>
      </c>
      <c r="F111" s="13">
        <f t="shared" si="10"/>
        <v>31</v>
      </c>
      <c r="G111" s="13">
        <v>450</v>
      </c>
      <c r="H111" s="41">
        <v>600</v>
      </c>
      <c r="I111" s="52">
        <f t="shared" si="18"/>
        <v>4.3010752688172046E-2</v>
      </c>
      <c r="J111" s="17" t="str">
        <f t="shared" si="12"/>
        <v/>
      </c>
      <c r="K111" s="18" t="b">
        <f>FALSE()</f>
        <v>0</v>
      </c>
      <c r="L111" s="19" t="str">
        <f t="shared" si="13"/>
        <v/>
      </c>
      <c r="M111" s="19" t="b">
        <f>FALSE()</f>
        <v>0</v>
      </c>
      <c r="N111" s="17" t="str">
        <f t="shared" si="14"/>
        <v/>
      </c>
      <c r="O111" s="18" t="b">
        <f>FALSE()</f>
        <v>0</v>
      </c>
      <c r="P111" s="19" t="str">
        <f t="shared" si="15"/>
        <v/>
      </c>
      <c r="Q111" s="19" t="b">
        <f>FALSE()</f>
        <v>0</v>
      </c>
      <c r="R111" s="31">
        <f t="shared" si="16"/>
        <v>4.3010752688172046E-2</v>
      </c>
      <c r="S111" s="18" t="b">
        <f>TRUE()</f>
        <v>1</v>
      </c>
      <c r="T111" s="19" t="str">
        <f t="shared" si="19"/>
        <v/>
      </c>
      <c r="U111" s="18" t="b">
        <f>FALSE()</f>
        <v>0</v>
      </c>
      <c r="V111" s="19" t="str">
        <f t="shared" si="20"/>
        <v/>
      </c>
      <c r="W111" s="18" t="b">
        <f>FALSE()</f>
        <v>0</v>
      </c>
      <c r="X111" s="19"/>
      <c r="Y111" s="18" t="b">
        <f>FALSE()</f>
        <v>0</v>
      </c>
    </row>
    <row r="112" spans="1:32" ht="14" x14ac:dyDescent="0.25">
      <c r="A112" s="10">
        <v>108</v>
      </c>
      <c r="B112" s="27" t="s">
        <v>74</v>
      </c>
      <c r="C112" s="27" t="s">
        <v>146</v>
      </c>
      <c r="D112" s="84">
        <v>46151</v>
      </c>
      <c r="E112" s="84">
        <v>46157</v>
      </c>
      <c r="F112" s="13">
        <f t="shared" si="10"/>
        <v>7</v>
      </c>
      <c r="G112" s="13">
        <v>900</v>
      </c>
      <c r="H112" s="41">
        <v>315</v>
      </c>
      <c r="I112" s="52">
        <f t="shared" si="18"/>
        <v>0.05</v>
      </c>
      <c r="J112" s="30" t="str">
        <f t="shared" si="12"/>
        <v/>
      </c>
      <c r="K112" s="24" t="b">
        <f>FALSE()</f>
        <v>0</v>
      </c>
      <c r="L112" s="25">
        <f t="shared" si="13"/>
        <v>0.05</v>
      </c>
      <c r="M112" s="26" t="b">
        <f>TRUE()</f>
        <v>1</v>
      </c>
      <c r="N112" s="23">
        <f t="shared" si="14"/>
        <v>0.05</v>
      </c>
      <c r="O112" s="24" t="b">
        <f>TRUE()</f>
        <v>1</v>
      </c>
      <c r="P112" s="26" t="str">
        <f t="shared" si="15"/>
        <v/>
      </c>
      <c r="Q112" s="26" t="b">
        <f>FALSE()</f>
        <v>0</v>
      </c>
      <c r="R112" s="30" t="str">
        <f t="shared" si="16"/>
        <v/>
      </c>
      <c r="S112" s="24" t="b">
        <f>FALSE()</f>
        <v>0</v>
      </c>
      <c r="T112" s="26" t="str">
        <f t="shared" si="19"/>
        <v/>
      </c>
      <c r="U112" s="24" t="b">
        <f>FALSE()</f>
        <v>0</v>
      </c>
      <c r="V112" s="26" t="str">
        <f t="shared" si="20"/>
        <v/>
      </c>
      <c r="W112" s="24" t="b">
        <f>FALSE()</f>
        <v>0</v>
      </c>
      <c r="X112" s="26"/>
      <c r="Y112" s="24" t="b">
        <f>FALSE()</f>
        <v>0</v>
      </c>
    </row>
    <row r="113" spans="1:25" ht="14" x14ac:dyDescent="0.25">
      <c r="A113" s="10">
        <v>109</v>
      </c>
      <c r="B113" s="27" t="s">
        <v>110</v>
      </c>
      <c r="C113" s="27" t="s">
        <v>111</v>
      </c>
      <c r="D113" s="84">
        <v>46148</v>
      </c>
      <c r="E113" s="84">
        <v>46178</v>
      </c>
      <c r="F113" s="13">
        <f t="shared" si="10"/>
        <v>31</v>
      </c>
      <c r="G113" s="13">
        <v>900</v>
      </c>
      <c r="H113" s="41">
        <v>1678.05</v>
      </c>
      <c r="I113" s="52">
        <f t="shared" si="18"/>
        <v>6.0145161290322581E-2</v>
      </c>
      <c r="J113" s="31">
        <f t="shared" si="12"/>
        <v>6.0145161290322581E-2</v>
      </c>
      <c r="K113" s="18" t="b">
        <f>TRUE()</f>
        <v>1</v>
      </c>
      <c r="L113" s="19" t="str">
        <f t="shared" si="13"/>
        <v/>
      </c>
      <c r="M113" s="19" t="b">
        <f>FALSE()</f>
        <v>0</v>
      </c>
      <c r="N113" s="31">
        <f t="shared" si="14"/>
        <v>6.0145161290322581E-2</v>
      </c>
      <c r="O113" s="18" t="b">
        <f>TRUE()</f>
        <v>1</v>
      </c>
      <c r="P113" s="19" t="str">
        <f t="shared" si="15"/>
        <v/>
      </c>
      <c r="Q113" s="19" t="b">
        <f>FALSE()</f>
        <v>0</v>
      </c>
      <c r="R113" s="17" t="str">
        <f t="shared" si="16"/>
        <v/>
      </c>
      <c r="S113" s="18" t="b">
        <f>FALSE()</f>
        <v>0</v>
      </c>
      <c r="T113" s="19" t="str">
        <f t="shared" si="19"/>
        <v/>
      </c>
      <c r="U113" s="18" t="b">
        <f>FALSE()</f>
        <v>0</v>
      </c>
      <c r="V113" s="19" t="str">
        <f t="shared" si="20"/>
        <v/>
      </c>
      <c r="W113" s="18" t="b">
        <f>FALSE()</f>
        <v>0</v>
      </c>
      <c r="X113" s="19"/>
      <c r="Y113" s="18" t="b">
        <f>FALSE()</f>
        <v>0</v>
      </c>
    </row>
    <row r="114" spans="1:25" ht="14" x14ac:dyDescent="0.25">
      <c r="A114" s="10">
        <v>110</v>
      </c>
      <c r="B114" s="27" t="s">
        <v>116</v>
      </c>
      <c r="C114" s="27"/>
      <c r="D114" s="84">
        <v>46157</v>
      </c>
      <c r="E114" s="84">
        <v>46194</v>
      </c>
      <c r="F114" s="13">
        <f t="shared" si="10"/>
        <v>38</v>
      </c>
      <c r="G114" s="13">
        <v>600</v>
      </c>
      <c r="H114" s="41">
        <v>1080</v>
      </c>
      <c r="I114" s="52">
        <f t="shared" si="18"/>
        <v>4.736842105263158E-2</v>
      </c>
      <c r="J114" s="30" t="str">
        <f t="shared" si="12"/>
        <v/>
      </c>
      <c r="K114" s="24" t="b">
        <f>FALSE()</f>
        <v>0</v>
      </c>
      <c r="L114" s="26" t="str">
        <f t="shared" si="13"/>
        <v/>
      </c>
      <c r="M114" s="26" t="b">
        <f>FALSE()</f>
        <v>0</v>
      </c>
      <c r="N114" s="30" t="str">
        <f t="shared" si="14"/>
        <v/>
      </c>
      <c r="O114" s="24" t="b">
        <f>FALSE()</f>
        <v>0</v>
      </c>
      <c r="P114" s="26" t="str">
        <f t="shared" si="15"/>
        <v/>
      </c>
      <c r="Q114" s="26" t="b">
        <f>FALSE()</f>
        <v>0</v>
      </c>
      <c r="R114" s="23">
        <f t="shared" si="16"/>
        <v>4.736842105263158E-2</v>
      </c>
      <c r="S114" s="24" t="b">
        <f>TRUE()</f>
        <v>1</v>
      </c>
      <c r="T114" s="25">
        <f t="shared" si="19"/>
        <v>4.736842105263158E-2</v>
      </c>
      <c r="U114" s="24" t="b">
        <f>TRUE()</f>
        <v>1</v>
      </c>
      <c r="V114" s="26"/>
      <c r="W114" s="24" t="b">
        <f>FALSE()</f>
        <v>0</v>
      </c>
      <c r="X114" s="26"/>
      <c r="Y114" s="24" t="b">
        <f>FALSE()</f>
        <v>0</v>
      </c>
    </row>
    <row r="115" spans="1:25" ht="14" x14ac:dyDescent="0.25">
      <c r="A115" s="10">
        <v>111</v>
      </c>
      <c r="B115" s="27" t="s">
        <v>37</v>
      </c>
      <c r="C115" s="27" t="s">
        <v>128</v>
      </c>
      <c r="D115" s="84">
        <v>46169</v>
      </c>
      <c r="E115" s="84">
        <v>46184</v>
      </c>
      <c r="F115" s="13">
        <f t="shared" si="10"/>
        <v>16</v>
      </c>
      <c r="G115" s="13">
        <v>900</v>
      </c>
      <c r="H115" s="41">
        <v>720</v>
      </c>
      <c r="I115" s="52">
        <f t="shared" si="18"/>
        <v>0.05</v>
      </c>
      <c r="J115" s="31">
        <f t="shared" si="12"/>
        <v>0.05</v>
      </c>
      <c r="K115" s="18" t="b">
        <f>TRUE()</f>
        <v>1</v>
      </c>
      <c r="L115" s="19" t="str">
        <f t="shared" si="13"/>
        <v/>
      </c>
      <c r="M115" s="19" t="b">
        <f>FALSE()</f>
        <v>0</v>
      </c>
      <c r="N115" s="17" t="str">
        <f t="shared" si="14"/>
        <v/>
      </c>
      <c r="O115" s="18" t="b">
        <f>FALSE()</f>
        <v>0</v>
      </c>
      <c r="P115" s="19" t="str">
        <f t="shared" si="15"/>
        <v/>
      </c>
      <c r="Q115" s="19" t="b">
        <f>FALSE()</f>
        <v>0</v>
      </c>
      <c r="R115" s="31">
        <f t="shared" si="16"/>
        <v>0.05</v>
      </c>
      <c r="S115" s="18" t="b">
        <f>TRUE()</f>
        <v>1</v>
      </c>
      <c r="T115" s="19" t="str">
        <f t="shared" si="19"/>
        <v/>
      </c>
      <c r="U115" s="18" t="b">
        <f>FALSE()</f>
        <v>0</v>
      </c>
      <c r="V115" s="19" t="str">
        <f>IF(W115=TRUE(),$I115,"")</f>
        <v/>
      </c>
      <c r="W115" s="18" t="b">
        <f>FALSE()</f>
        <v>0</v>
      </c>
      <c r="X115" s="19"/>
      <c r="Y115" s="18" t="b">
        <f>FALSE()</f>
        <v>0</v>
      </c>
    </row>
    <row r="116" spans="1:25" ht="14" x14ac:dyDescent="0.25">
      <c r="A116" s="10">
        <v>112</v>
      </c>
      <c r="B116" s="27" t="s">
        <v>147</v>
      </c>
      <c r="C116" s="27" t="s">
        <v>148</v>
      </c>
      <c r="D116" s="84">
        <v>46157</v>
      </c>
      <c r="E116" s="84">
        <v>46187</v>
      </c>
      <c r="F116" s="13">
        <f t="shared" si="10"/>
        <v>31</v>
      </c>
      <c r="G116" s="13">
        <v>1800</v>
      </c>
      <c r="H116" s="41">
        <v>2340</v>
      </c>
      <c r="I116" s="52">
        <f t="shared" si="18"/>
        <v>4.1935483870967745E-2</v>
      </c>
      <c r="J116" s="23">
        <f t="shared" si="12"/>
        <v>4.1935483870967745E-2</v>
      </c>
      <c r="K116" s="24" t="b">
        <f>TRUE()</f>
        <v>1</v>
      </c>
      <c r="L116" s="25">
        <f t="shared" si="13"/>
        <v>4.1935483870967745E-2</v>
      </c>
      <c r="M116" s="26" t="b">
        <f>TRUE()</f>
        <v>1</v>
      </c>
      <c r="N116" s="30" t="str">
        <f t="shared" si="14"/>
        <v/>
      </c>
      <c r="O116" s="24" t="b">
        <f>FALSE()</f>
        <v>0</v>
      </c>
      <c r="P116" s="26" t="str">
        <f t="shared" si="15"/>
        <v/>
      </c>
      <c r="Q116" s="26" t="b">
        <f>FALSE()</f>
        <v>0</v>
      </c>
      <c r="R116" s="23">
        <f t="shared" si="16"/>
        <v>4.1935483870967745E-2</v>
      </c>
      <c r="S116" s="24" t="b">
        <f>TRUE()</f>
        <v>1</v>
      </c>
      <c r="T116" s="26" t="str">
        <f t="shared" si="19"/>
        <v/>
      </c>
      <c r="U116" s="24" t="b">
        <f>FALSE()</f>
        <v>0</v>
      </c>
      <c r="V116" s="26" t="str">
        <f>IF(W116=TRUE(),$I116,"")</f>
        <v/>
      </c>
      <c r="W116" s="24" t="b">
        <f>FALSE()</f>
        <v>0</v>
      </c>
      <c r="X116" s="26"/>
      <c r="Y116" s="24" t="b">
        <f>FALSE()</f>
        <v>0</v>
      </c>
    </row>
    <row r="117" spans="1:25" ht="14" x14ac:dyDescent="0.25">
      <c r="A117" s="10">
        <v>113</v>
      </c>
      <c r="B117" s="27" t="s">
        <v>37</v>
      </c>
      <c r="C117" s="27" t="s">
        <v>149</v>
      </c>
      <c r="D117" s="84">
        <v>46185</v>
      </c>
      <c r="E117" s="84">
        <v>46199</v>
      </c>
      <c r="F117" s="13">
        <f t="shared" si="10"/>
        <v>15</v>
      </c>
      <c r="G117" s="13">
        <v>900</v>
      </c>
      <c r="H117" s="41">
        <v>687.5</v>
      </c>
      <c r="I117" s="52">
        <f t="shared" si="18"/>
        <v>5.0925925925925923E-2</v>
      </c>
      <c r="J117" s="17" t="str">
        <f t="shared" si="12"/>
        <v/>
      </c>
      <c r="K117" s="18" t="b">
        <f>FALSE()</f>
        <v>0</v>
      </c>
      <c r="L117" s="29">
        <f t="shared" si="13"/>
        <v>5.0925925925925923E-2</v>
      </c>
      <c r="M117" s="19" t="b">
        <f>TRUE()</f>
        <v>1</v>
      </c>
      <c r="N117" s="17" t="str">
        <f t="shared" si="14"/>
        <v/>
      </c>
      <c r="O117" s="18" t="b">
        <f>FALSE()</f>
        <v>0</v>
      </c>
      <c r="P117" s="19" t="str">
        <f t="shared" si="15"/>
        <v/>
      </c>
      <c r="Q117" s="19" t="b">
        <f>FALSE()</f>
        <v>0</v>
      </c>
      <c r="R117" s="31">
        <f t="shared" si="16"/>
        <v>5.0925925925925923E-2</v>
      </c>
      <c r="S117" s="18" t="b">
        <f>TRUE()</f>
        <v>1</v>
      </c>
      <c r="T117" s="19" t="str">
        <f t="shared" si="19"/>
        <v/>
      </c>
      <c r="U117" s="18" t="b">
        <f>FALSE()</f>
        <v>0</v>
      </c>
      <c r="V117" s="19" t="str">
        <f>IF(W117=TRUE(),$I117,"")</f>
        <v/>
      </c>
      <c r="W117" s="18" t="b">
        <f>FALSE()</f>
        <v>0</v>
      </c>
      <c r="X117" s="19"/>
      <c r="Y117" s="18" t="b">
        <f>FALSE()</f>
        <v>0</v>
      </c>
    </row>
    <row r="118" spans="1:25" ht="14" x14ac:dyDescent="0.25">
      <c r="A118" s="10">
        <v>114</v>
      </c>
      <c r="B118" s="27" t="s">
        <v>37</v>
      </c>
      <c r="C118" s="27" t="s">
        <v>149</v>
      </c>
      <c r="D118" s="84">
        <v>46169</v>
      </c>
      <c r="E118" s="84">
        <v>46184</v>
      </c>
      <c r="F118" s="13">
        <f t="shared" si="10"/>
        <v>16</v>
      </c>
      <c r="G118" s="13">
        <v>900</v>
      </c>
      <c r="H118" s="41">
        <v>585</v>
      </c>
      <c r="I118" s="52">
        <f t="shared" si="18"/>
        <v>4.0625000000000001E-2</v>
      </c>
      <c r="J118" s="23">
        <f t="shared" si="12"/>
        <v>4.0625000000000001E-2</v>
      </c>
      <c r="K118" s="24" t="b">
        <f>TRUE()</f>
        <v>1</v>
      </c>
      <c r="L118" s="26" t="str">
        <f t="shared" si="13"/>
        <v/>
      </c>
      <c r="M118" s="26" t="b">
        <f>FALSE()</f>
        <v>0</v>
      </c>
      <c r="N118" s="30" t="str">
        <f t="shared" si="14"/>
        <v/>
      </c>
      <c r="O118" s="24" t="b">
        <f>FALSE()</f>
        <v>0</v>
      </c>
      <c r="P118" s="26" t="str">
        <f t="shared" si="15"/>
        <v/>
      </c>
      <c r="Q118" s="26" t="b">
        <f>FALSE()</f>
        <v>0</v>
      </c>
      <c r="R118" s="30" t="str">
        <f t="shared" si="16"/>
        <v/>
      </c>
      <c r="S118" s="24" t="b">
        <f>FALSE()</f>
        <v>0</v>
      </c>
      <c r="T118" s="26" t="str">
        <f t="shared" si="19"/>
        <v/>
      </c>
      <c r="U118" s="24" t="b">
        <f>FALSE()</f>
        <v>0</v>
      </c>
      <c r="V118" s="26" t="str">
        <f>IF(W118=TRUE(),$I118,"")</f>
        <v/>
      </c>
      <c r="W118" s="24" t="b">
        <f>FALSE()</f>
        <v>0</v>
      </c>
      <c r="X118" s="26"/>
      <c r="Y118" s="24" t="b">
        <f>FALSE()</f>
        <v>0</v>
      </c>
    </row>
    <row r="119" spans="1:25" ht="14" x14ac:dyDescent="0.25">
      <c r="A119" s="10">
        <v>115</v>
      </c>
      <c r="B119" s="27" t="s">
        <v>150</v>
      </c>
      <c r="C119" s="27" t="s">
        <v>151</v>
      </c>
      <c r="D119" s="84">
        <v>46161</v>
      </c>
      <c r="E119" s="84">
        <v>46252</v>
      </c>
      <c r="F119" s="13">
        <f t="shared" si="10"/>
        <v>92</v>
      </c>
      <c r="G119" s="13">
        <v>900</v>
      </c>
      <c r="H119" s="41">
        <v>4860</v>
      </c>
      <c r="I119" s="52">
        <f t="shared" si="18"/>
        <v>5.8695652173913045E-2</v>
      </c>
      <c r="J119" s="17" t="str">
        <f t="shared" si="12"/>
        <v/>
      </c>
      <c r="K119" s="18" t="b">
        <f>FALSE()</f>
        <v>0</v>
      </c>
      <c r="L119" s="19" t="str">
        <f t="shared" si="13"/>
        <v/>
      </c>
      <c r="M119" s="19" t="b">
        <f>FALSE()</f>
        <v>0</v>
      </c>
      <c r="N119" s="17" t="str">
        <f t="shared" si="14"/>
        <v/>
      </c>
      <c r="O119" s="18" t="b">
        <f>FALSE()</f>
        <v>0</v>
      </c>
      <c r="P119" s="29">
        <f t="shared" si="15"/>
        <v>5.8695652173913045E-2</v>
      </c>
      <c r="Q119" s="19" t="b">
        <f>TRUE()</f>
        <v>1</v>
      </c>
      <c r="R119" s="31">
        <f t="shared" si="16"/>
        <v>5.8695652173913045E-2</v>
      </c>
      <c r="S119" s="18" t="b">
        <f>TRUE()</f>
        <v>1</v>
      </c>
      <c r="T119" s="19" t="str">
        <f t="shared" si="19"/>
        <v/>
      </c>
      <c r="U119" s="18" t="b">
        <f>FALSE()</f>
        <v>0</v>
      </c>
      <c r="V119" s="19" t="str">
        <f>IF(W119=TRUE(),$I119,"")</f>
        <v/>
      </c>
      <c r="W119" s="18" t="b">
        <f>FALSE()</f>
        <v>0</v>
      </c>
      <c r="X119" s="19"/>
      <c r="Y119" s="18" t="b">
        <f>FALSE()</f>
        <v>0</v>
      </c>
    </row>
    <row r="120" spans="1:25" ht="14" x14ac:dyDescent="0.25">
      <c r="A120" s="10">
        <v>116</v>
      </c>
      <c r="B120" s="27" t="s">
        <v>77</v>
      </c>
      <c r="C120" s="27" t="s">
        <v>152</v>
      </c>
      <c r="D120" s="84">
        <v>46167</v>
      </c>
      <c r="E120" s="84">
        <v>46175</v>
      </c>
      <c r="F120" s="13">
        <f t="shared" si="10"/>
        <v>9</v>
      </c>
      <c r="G120" s="13">
        <v>1350</v>
      </c>
      <c r="H120" s="41">
        <v>1417.5</v>
      </c>
      <c r="I120" s="52">
        <f t="shared" si="18"/>
        <v>0.11666666666666667</v>
      </c>
      <c r="J120" s="30" t="str">
        <f t="shared" si="12"/>
        <v/>
      </c>
      <c r="K120" s="24" t="b">
        <f>FALSE()</f>
        <v>0</v>
      </c>
      <c r="L120" s="26" t="str">
        <f t="shared" si="13"/>
        <v/>
      </c>
      <c r="M120" s="26" t="b">
        <f>FALSE()</f>
        <v>0</v>
      </c>
      <c r="N120" s="23">
        <f t="shared" si="14"/>
        <v>0.11666666666666667</v>
      </c>
      <c r="O120" s="24" t="b">
        <f>TRUE()</f>
        <v>1</v>
      </c>
      <c r="P120" s="25">
        <f t="shared" si="15"/>
        <v>0.11666666666666667</v>
      </c>
      <c r="Q120" s="26" t="b">
        <f>TRUE()</f>
        <v>1</v>
      </c>
      <c r="R120" s="30" t="str">
        <f t="shared" si="16"/>
        <v/>
      </c>
      <c r="S120" s="24" t="b">
        <f>FALSE()</f>
        <v>0</v>
      </c>
      <c r="T120" s="25">
        <f t="shared" si="19"/>
        <v>0.11666666666666667</v>
      </c>
      <c r="U120" s="24" t="b">
        <f>TRUE()</f>
        <v>1</v>
      </c>
      <c r="V120" s="26"/>
      <c r="W120" s="24" t="b">
        <f>FALSE()</f>
        <v>0</v>
      </c>
      <c r="X120" s="26"/>
      <c r="Y120" s="24" t="b">
        <f>FALSE()</f>
        <v>0</v>
      </c>
    </row>
    <row r="121" spans="1:25" ht="14" x14ac:dyDescent="0.25">
      <c r="A121" s="10">
        <v>117</v>
      </c>
      <c r="B121" s="27" t="s">
        <v>37</v>
      </c>
      <c r="C121" s="27" t="s">
        <v>153</v>
      </c>
      <c r="D121" s="84">
        <v>46164</v>
      </c>
      <c r="E121" s="84">
        <v>46192</v>
      </c>
      <c r="F121" s="13">
        <f t="shared" si="10"/>
        <v>29</v>
      </c>
      <c r="G121" s="13">
        <v>450</v>
      </c>
      <c r="H121" s="41">
        <v>652.5</v>
      </c>
      <c r="I121" s="52">
        <f t="shared" si="18"/>
        <v>0.05</v>
      </c>
      <c r="J121" s="17" t="str">
        <f t="shared" si="12"/>
        <v/>
      </c>
      <c r="K121" s="18" t="b">
        <f>FALSE()</f>
        <v>0</v>
      </c>
      <c r="L121" s="29">
        <f t="shared" si="13"/>
        <v>0.05</v>
      </c>
      <c r="M121" s="19" t="b">
        <f>TRUE()</f>
        <v>1</v>
      </c>
      <c r="N121" s="17" t="str">
        <f t="shared" si="14"/>
        <v/>
      </c>
      <c r="O121" s="18" t="b">
        <f>FALSE()</f>
        <v>0</v>
      </c>
      <c r="P121" s="19" t="str">
        <f t="shared" si="15"/>
        <v/>
      </c>
      <c r="Q121" s="19" t="b">
        <f>FALSE()</f>
        <v>0</v>
      </c>
      <c r="R121" s="17" t="str">
        <f t="shared" si="16"/>
        <v/>
      </c>
      <c r="S121" s="18" t="b">
        <f>FALSE()</f>
        <v>0</v>
      </c>
      <c r="T121" s="19" t="str">
        <f t="shared" si="19"/>
        <v/>
      </c>
      <c r="U121" s="18" t="b">
        <f>FALSE()</f>
        <v>0</v>
      </c>
      <c r="V121" s="19" t="str">
        <f t="shared" ref="V121:V152" si="21">IF(W121=TRUE(),$I121,"")</f>
        <v/>
      </c>
      <c r="W121" s="18" t="b">
        <f>FALSE()</f>
        <v>0</v>
      </c>
      <c r="X121" s="19"/>
      <c r="Y121" s="18" t="b">
        <f>FALSE()</f>
        <v>0</v>
      </c>
    </row>
    <row r="122" spans="1:25" ht="14" x14ac:dyDescent="0.25">
      <c r="A122" s="10">
        <v>118</v>
      </c>
      <c r="B122" s="27" t="s">
        <v>154</v>
      </c>
      <c r="C122" s="27"/>
      <c r="D122" s="84">
        <v>46165</v>
      </c>
      <c r="E122" s="84">
        <v>46179</v>
      </c>
      <c r="F122" s="13">
        <f t="shared" si="10"/>
        <v>15</v>
      </c>
      <c r="G122" s="13">
        <v>1350</v>
      </c>
      <c r="H122" s="41">
        <v>1275</v>
      </c>
      <c r="I122" s="52">
        <f t="shared" si="18"/>
        <v>6.2962962962962957E-2</v>
      </c>
      <c r="J122" s="23">
        <f t="shared" si="12"/>
        <v>6.2962962962962957E-2</v>
      </c>
      <c r="K122" s="24" t="b">
        <f>TRUE()</f>
        <v>1</v>
      </c>
      <c r="L122" s="26" t="str">
        <f t="shared" si="13"/>
        <v/>
      </c>
      <c r="M122" s="26" t="b">
        <f>FALSE()</f>
        <v>0</v>
      </c>
      <c r="N122" s="30" t="str">
        <f t="shared" si="14"/>
        <v/>
      </c>
      <c r="O122" s="24" t="b">
        <f>FALSE()</f>
        <v>0</v>
      </c>
      <c r="P122" s="26" t="str">
        <f t="shared" si="15"/>
        <v/>
      </c>
      <c r="Q122" s="26" t="b">
        <f>FALSE()</f>
        <v>0</v>
      </c>
      <c r="R122" s="30" t="str">
        <f t="shared" si="16"/>
        <v/>
      </c>
      <c r="S122" s="24" t="b">
        <f>FALSE()</f>
        <v>0</v>
      </c>
      <c r="T122" s="25">
        <f t="shared" si="19"/>
        <v>6.2962962962962957E-2</v>
      </c>
      <c r="U122" s="24" t="b">
        <f>TRUE()</f>
        <v>1</v>
      </c>
      <c r="V122" s="25">
        <f t="shared" si="21"/>
        <v>6.2962962962962957E-2</v>
      </c>
      <c r="W122" s="24" t="b">
        <f>TRUE()</f>
        <v>1</v>
      </c>
      <c r="X122" s="26" t="str">
        <f>IF(Y122=TRUE(),$I122,"")</f>
        <v/>
      </c>
      <c r="Y122" s="24" t="b">
        <f>FALSE()</f>
        <v>0</v>
      </c>
    </row>
    <row r="123" spans="1:25" ht="14" x14ac:dyDescent="0.25">
      <c r="A123" s="10">
        <v>119</v>
      </c>
      <c r="B123" s="27" t="s">
        <v>155</v>
      </c>
      <c r="C123" s="27"/>
      <c r="D123" s="84">
        <v>46180</v>
      </c>
      <c r="E123" s="84">
        <v>46209</v>
      </c>
      <c r="F123" s="13">
        <f t="shared" si="10"/>
        <v>30</v>
      </c>
      <c r="G123" s="13">
        <v>450</v>
      </c>
      <c r="H123" s="41">
        <v>600</v>
      </c>
      <c r="I123" s="52">
        <f t="shared" si="18"/>
        <v>4.4444444444444446E-2</v>
      </c>
      <c r="J123" s="17" t="str">
        <f t="shared" si="12"/>
        <v/>
      </c>
      <c r="K123" s="18" t="b">
        <f>FALSE()</f>
        <v>0</v>
      </c>
      <c r="L123" s="19" t="str">
        <f t="shared" si="13"/>
        <v/>
      </c>
      <c r="M123" s="19" t="b">
        <f>FALSE()</f>
        <v>0</v>
      </c>
      <c r="N123" s="17" t="str">
        <f t="shared" si="14"/>
        <v/>
      </c>
      <c r="O123" s="18" t="b">
        <f>FALSE()</f>
        <v>0</v>
      </c>
      <c r="P123" s="19" t="str">
        <f t="shared" si="15"/>
        <v/>
      </c>
      <c r="Q123" s="19" t="b">
        <f>FALSE()</f>
        <v>0</v>
      </c>
      <c r="R123" s="31">
        <f t="shared" si="16"/>
        <v>4.4444444444444446E-2</v>
      </c>
      <c r="S123" s="18" t="b">
        <f>TRUE()</f>
        <v>1</v>
      </c>
      <c r="T123" s="19" t="str">
        <f t="shared" si="19"/>
        <v/>
      </c>
      <c r="U123" s="18" t="b">
        <f>FALSE()</f>
        <v>0</v>
      </c>
      <c r="V123" s="19" t="str">
        <f t="shared" si="21"/>
        <v/>
      </c>
      <c r="W123" s="18" t="b">
        <f>FALSE()</f>
        <v>0</v>
      </c>
      <c r="X123" s="19" t="str">
        <f>IF(Y123=TRUE(),$I123,"")</f>
        <v/>
      </c>
      <c r="Y123" s="18" t="b">
        <f>FALSE()</f>
        <v>0</v>
      </c>
    </row>
    <row r="124" spans="1:25" ht="14" x14ac:dyDescent="0.25">
      <c r="A124" s="10">
        <v>120</v>
      </c>
      <c r="B124" s="27" t="s">
        <v>84</v>
      </c>
      <c r="C124" s="27" t="s">
        <v>156</v>
      </c>
      <c r="D124" s="84">
        <v>46169</v>
      </c>
      <c r="E124" s="84">
        <v>46199</v>
      </c>
      <c r="F124" s="13">
        <f t="shared" si="10"/>
        <v>31</v>
      </c>
      <c r="G124" s="13">
        <v>900</v>
      </c>
      <c r="H124" s="41">
        <v>1800</v>
      </c>
      <c r="I124" s="52">
        <f t="shared" si="18"/>
        <v>6.4516129032258063E-2</v>
      </c>
      <c r="J124" s="23">
        <f t="shared" si="12"/>
        <v>6.4516129032258063E-2</v>
      </c>
      <c r="K124" s="24" t="b">
        <f>TRUE()</f>
        <v>1</v>
      </c>
      <c r="L124" s="26" t="str">
        <f t="shared" si="13"/>
        <v/>
      </c>
      <c r="M124" s="26" t="b">
        <f>FALSE()</f>
        <v>0</v>
      </c>
      <c r="N124" s="23">
        <f t="shared" si="14"/>
        <v>6.4516129032258063E-2</v>
      </c>
      <c r="O124" s="24" t="b">
        <f>TRUE()</f>
        <v>1</v>
      </c>
      <c r="P124" s="26" t="str">
        <f t="shared" si="15"/>
        <v/>
      </c>
      <c r="Q124" s="26" t="b">
        <f>FALSE()</f>
        <v>0</v>
      </c>
      <c r="R124" s="23">
        <f t="shared" si="16"/>
        <v>6.4516129032258063E-2</v>
      </c>
      <c r="S124" s="24" t="b">
        <f>TRUE()</f>
        <v>1</v>
      </c>
      <c r="T124" s="26" t="str">
        <f t="shared" si="19"/>
        <v/>
      </c>
      <c r="U124" s="24" t="b">
        <f>FALSE()</f>
        <v>0</v>
      </c>
      <c r="V124" s="26" t="str">
        <f t="shared" si="21"/>
        <v/>
      </c>
      <c r="W124" s="24" t="b">
        <f>FALSE()</f>
        <v>0</v>
      </c>
      <c r="X124" s="26" t="str">
        <f>IF(Y124=TRUE(),$I124,"")</f>
        <v/>
      </c>
      <c r="Y124" s="24" t="b">
        <f>FALSE()</f>
        <v>0</v>
      </c>
    </row>
    <row r="125" spans="1:25" ht="14" x14ac:dyDescent="0.25">
      <c r="A125" s="10">
        <v>121</v>
      </c>
      <c r="B125" s="27" t="s">
        <v>108</v>
      </c>
      <c r="C125" s="27" t="s">
        <v>157</v>
      </c>
      <c r="D125" s="84">
        <v>46174</v>
      </c>
      <c r="E125" s="84">
        <v>46203</v>
      </c>
      <c r="F125" s="13">
        <f t="shared" si="10"/>
        <v>30</v>
      </c>
      <c r="G125" s="13">
        <v>450</v>
      </c>
      <c r="H125" s="41">
        <v>600</v>
      </c>
      <c r="I125" s="52">
        <f t="shared" si="18"/>
        <v>4.4444444444444446E-2</v>
      </c>
      <c r="J125" s="17" t="str">
        <f t="shared" si="12"/>
        <v/>
      </c>
      <c r="K125" s="18" t="b">
        <f>FALSE()</f>
        <v>0</v>
      </c>
      <c r="L125" s="19" t="str">
        <f t="shared" si="13"/>
        <v/>
      </c>
      <c r="M125" s="19" t="b">
        <f>FALSE()</f>
        <v>0</v>
      </c>
      <c r="N125" s="17" t="str">
        <f t="shared" si="14"/>
        <v/>
      </c>
      <c r="O125" s="18" t="b">
        <f>FALSE()</f>
        <v>0</v>
      </c>
      <c r="P125" s="19" t="str">
        <f t="shared" si="15"/>
        <v/>
      </c>
      <c r="Q125" s="19" t="b">
        <f>FALSE()</f>
        <v>0</v>
      </c>
      <c r="R125" s="17" t="str">
        <f t="shared" si="16"/>
        <v/>
      </c>
      <c r="S125" s="18" t="b">
        <f>FALSE()</f>
        <v>0</v>
      </c>
      <c r="T125" s="29">
        <f t="shared" si="19"/>
        <v>4.4444444444444446E-2</v>
      </c>
      <c r="U125" s="18" t="b">
        <f>TRUE()</f>
        <v>1</v>
      </c>
      <c r="V125" s="19" t="str">
        <f t="shared" si="21"/>
        <v/>
      </c>
      <c r="W125" s="18" t="b">
        <f>FALSE()</f>
        <v>0</v>
      </c>
      <c r="X125" s="19" t="str">
        <f>IF(Y125=TRUE(),$I125,"")</f>
        <v/>
      </c>
      <c r="Y125" s="18" t="b">
        <f>FALSE()</f>
        <v>0</v>
      </c>
    </row>
    <row r="126" spans="1:25" ht="14" x14ac:dyDescent="0.25">
      <c r="A126" s="10">
        <v>122</v>
      </c>
      <c r="B126" s="27" t="s">
        <v>158</v>
      </c>
      <c r="C126" s="27" t="s">
        <v>157</v>
      </c>
      <c r="D126" s="84">
        <v>46174</v>
      </c>
      <c r="E126" s="84">
        <v>46203</v>
      </c>
      <c r="F126" s="13">
        <f t="shared" si="10"/>
        <v>30</v>
      </c>
      <c r="G126" s="13">
        <v>900</v>
      </c>
      <c r="H126" s="41">
        <v>1200</v>
      </c>
      <c r="I126" s="52">
        <f t="shared" si="18"/>
        <v>4.4444444444444446E-2</v>
      </c>
      <c r="J126" s="31">
        <f t="shared" si="12"/>
        <v>4.4444444444444446E-2</v>
      </c>
      <c r="K126" s="18" t="b">
        <f>TRUE()</f>
        <v>1</v>
      </c>
      <c r="L126" s="19" t="str">
        <f t="shared" si="13"/>
        <v/>
      </c>
      <c r="M126" s="19" t="b">
        <f>FALSE()</f>
        <v>0</v>
      </c>
      <c r="N126" s="17" t="str">
        <f t="shared" si="14"/>
        <v/>
      </c>
      <c r="O126" s="18" t="b">
        <f>FALSE()</f>
        <v>0</v>
      </c>
      <c r="P126" s="29">
        <f t="shared" si="15"/>
        <v>4.4444444444444446E-2</v>
      </c>
      <c r="Q126" s="19" t="b">
        <f>TRUE()</f>
        <v>1</v>
      </c>
      <c r="R126" s="17" t="str">
        <f t="shared" si="16"/>
        <v/>
      </c>
      <c r="S126" s="18" t="b">
        <f>FALSE()</f>
        <v>0</v>
      </c>
      <c r="T126" s="19" t="str">
        <f t="shared" si="19"/>
        <v/>
      </c>
      <c r="U126" s="18" t="b">
        <f>FALSE()</f>
        <v>0</v>
      </c>
      <c r="V126" s="19" t="str">
        <f t="shared" si="21"/>
        <v/>
      </c>
      <c r="W126" s="18" t="b">
        <f>FALSE()</f>
        <v>0</v>
      </c>
      <c r="X126" s="19"/>
      <c r="Y126" s="18" t="b">
        <f>FALSE()</f>
        <v>0</v>
      </c>
    </row>
    <row r="127" spans="1:25" ht="14" x14ac:dyDescent="0.25">
      <c r="A127" s="10">
        <v>123</v>
      </c>
      <c r="B127" s="27" t="s">
        <v>33</v>
      </c>
      <c r="C127" s="27"/>
      <c r="D127" s="84">
        <v>46174</v>
      </c>
      <c r="E127" s="84">
        <v>46203</v>
      </c>
      <c r="F127" s="13">
        <f t="shared" si="10"/>
        <v>30</v>
      </c>
      <c r="G127" s="13">
        <v>600</v>
      </c>
      <c r="H127" s="41">
        <v>1100</v>
      </c>
      <c r="I127" s="52">
        <f t="shared" si="18"/>
        <v>6.1111111111111109E-2</v>
      </c>
      <c r="J127" s="30" t="str">
        <f t="shared" si="12"/>
        <v/>
      </c>
      <c r="K127" s="24" t="b">
        <f>FALSE()</f>
        <v>0</v>
      </c>
      <c r="L127" s="26" t="str">
        <f t="shared" si="13"/>
        <v/>
      </c>
      <c r="M127" s="26" t="b">
        <f>FALSE()</f>
        <v>0</v>
      </c>
      <c r="N127" s="30" t="str">
        <f t="shared" si="14"/>
        <v/>
      </c>
      <c r="O127" s="24" t="b">
        <f>FALSE()</f>
        <v>0</v>
      </c>
      <c r="P127" s="25">
        <f t="shared" si="15"/>
        <v>6.1111111111111109E-2</v>
      </c>
      <c r="Q127" s="26" t="b">
        <f>TRUE()</f>
        <v>1</v>
      </c>
      <c r="R127" s="23">
        <f t="shared" si="16"/>
        <v>6.1111111111111109E-2</v>
      </c>
      <c r="S127" s="24" t="b">
        <f>TRUE()</f>
        <v>1</v>
      </c>
      <c r="T127" s="26" t="str">
        <f t="shared" si="19"/>
        <v/>
      </c>
      <c r="U127" s="24" t="b">
        <f>FALSE()</f>
        <v>0</v>
      </c>
      <c r="V127" s="26" t="str">
        <f t="shared" si="21"/>
        <v/>
      </c>
      <c r="W127" s="24" t="b">
        <f>FALSE()</f>
        <v>0</v>
      </c>
      <c r="X127" s="26" t="str">
        <f>IF(Y127=TRUE(),$I127,"")</f>
        <v/>
      </c>
      <c r="Y127" s="24" t="b">
        <f>FALSE()</f>
        <v>0</v>
      </c>
    </row>
    <row r="128" spans="1:25" ht="14" x14ac:dyDescent="0.25">
      <c r="A128" s="10">
        <v>124</v>
      </c>
      <c r="B128" s="27" t="s">
        <v>159</v>
      </c>
      <c r="C128" s="27" t="s">
        <v>57</v>
      </c>
      <c r="D128" s="84">
        <v>46174</v>
      </c>
      <c r="E128" s="84">
        <v>46203</v>
      </c>
      <c r="F128" s="13">
        <f t="shared" si="10"/>
        <v>30</v>
      </c>
      <c r="G128" s="13">
        <v>900</v>
      </c>
      <c r="H128" s="41">
        <v>1760</v>
      </c>
      <c r="I128" s="52">
        <f t="shared" si="18"/>
        <v>6.5185185185185179E-2</v>
      </c>
      <c r="J128" s="17" t="str">
        <f t="shared" si="12"/>
        <v/>
      </c>
      <c r="K128" s="18" t="b">
        <f>FALSE()</f>
        <v>0</v>
      </c>
      <c r="L128" s="29">
        <f t="shared" si="13"/>
        <v>6.5185185185185179E-2</v>
      </c>
      <c r="M128" s="19" t="b">
        <f>TRUE()</f>
        <v>1</v>
      </c>
      <c r="N128" s="17" t="str">
        <f t="shared" si="14"/>
        <v/>
      </c>
      <c r="O128" s="18" t="b">
        <f>FALSE()</f>
        <v>0</v>
      </c>
      <c r="P128" s="19" t="str">
        <f t="shared" si="15"/>
        <v/>
      </c>
      <c r="Q128" s="19" t="b">
        <f>FALSE()</f>
        <v>0</v>
      </c>
      <c r="R128" s="17" t="str">
        <f t="shared" si="16"/>
        <v/>
      </c>
      <c r="S128" s="18" t="b">
        <f>FALSE()</f>
        <v>0</v>
      </c>
      <c r="T128" s="19" t="str">
        <f t="shared" si="19"/>
        <v/>
      </c>
      <c r="U128" s="18" t="b">
        <f>FALSE()</f>
        <v>0</v>
      </c>
      <c r="V128" s="29">
        <f t="shared" si="21"/>
        <v>6.5185185185185179E-2</v>
      </c>
      <c r="W128" s="18" t="b">
        <f>TRUE()</f>
        <v>1</v>
      </c>
      <c r="X128" s="19" t="str">
        <f>IF(Y128=TRUE(),$I128,"")</f>
        <v/>
      </c>
      <c r="Y128" s="18" t="b">
        <f>FALSE()</f>
        <v>0</v>
      </c>
    </row>
    <row r="129" spans="1:26" ht="14" x14ac:dyDescent="0.25">
      <c r="A129" s="10">
        <v>125</v>
      </c>
      <c r="B129" s="27" t="s">
        <v>155</v>
      </c>
      <c r="C129" s="27" t="s">
        <v>160</v>
      </c>
      <c r="D129" s="84">
        <v>46174</v>
      </c>
      <c r="E129" s="84">
        <v>46203</v>
      </c>
      <c r="F129" s="13">
        <f t="shared" si="10"/>
        <v>30</v>
      </c>
      <c r="G129" s="13">
        <v>900</v>
      </c>
      <c r="H129" s="41">
        <v>1200</v>
      </c>
      <c r="I129" s="52">
        <f t="shared" si="18"/>
        <v>4.4444444444444446E-2</v>
      </c>
      <c r="J129" s="30" t="str">
        <f t="shared" si="12"/>
        <v/>
      </c>
      <c r="K129" s="24" t="b">
        <f>FALSE()</f>
        <v>0</v>
      </c>
      <c r="L129" s="26" t="str">
        <f t="shared" si="13"/>
        <v/>
      </c>
      <c r="M129" s="26" t="b">
        <f>FALSE()</f>
        <v>0</v>
      </c>
      <c r="N129" s="30" t="str">
        <f t="shared" si="14"/>
        <v/>
      </c>
      <c r="O129" s="24" t="b">
        <f>FALSE()</f>
        <v>0</v>
      </c>
      <c r="P129" s="25">
        <f t="shared" si="15"/>
        <v>4.4444444444444446E-2</v>
      </c>
      <c r="Q129" s="26" t="b">
        <f>TRUE()</f>
        <v>1</v>
      </c>
      <c r="R129" s="30" t="str">
        <f t="shared" si="16"/>
        <v/>
      </c>
      <c r="S129" s="24" t="b">
        <f>FALSE()</f>
        <v>0</v>
      </c>
      <c r="T129" s="25">
        <f t="shared" si="19"/>
        <v>4.4444444444444446E-2</v>
      </c>
      <c r="U129" s="24" t="b">
        <f>TRUE()</f>
        <v>1</v>
      </c>
      <c r="V129" s="26" t="str">
        <f t="shared" si="21"/>
        <v/>
      </c>
      <c r="W129" s="24" t="b">
        <f>FALSE()</f>
        <v>0</v>
      </c>
      <c r="X129" s="26" t="str">
        <f>IF(Y129=TRUE(),$I129,"")</f>
        <v/>
      </c>
      <c r="Y129" s="24" t="b">
        <f>FALSE()</f>
        <v>0</v>
      </c>
    </row>
    <row r="130" spans="1:26" ht="14" x14ac:dyDescent="0.25">
      <c r="A130" s="10">
        <v>126</v>
      </c>
      <c r="B130" s="27" t="s">
        <v>126</v>
      </c>
      <c r="C130" s="27" t="s">
        <v>57</v>
      </c>
      <c r="D130" s="84">
        <v>46174</v>
      </c>
      <c r="E130" s="84">
        <v>46203</v>
      </c>
      <c r="F130" s="13">
        <f t="shared" si="10"/>
        <v>30</v>
      </c>
      <c r="G130" s="13">
        <v>300</v>
      </c>
      <c r="H130" s="41">
        <v>550</v>
      </c>
      <c r="I130" s="52">
        <f t="shared" si="18"/>
        <v>6.1111111111111109E-2</v>
      </c>
      <c r="J130" s="31">
        <f t="shared" si="12"/>
        <v>6.1111111111111109E-2</v>
      </c>
      <c r="K130" s="18" t="b">
        <f>TRUE()</f>
        <v>1</v>
      </c>
      <c r="L130" s="19" t="str">
        <f t="shared" si="13"/>
        <v/>
      </c>
      <c r="M130" s="19" t="b">
        <f>FALSE()</f>
        <v>0</v>
      </c>
      <c r="N130" s="17" t="str">
        <f t="shared" si="14"/>
        <v/>
      </c>
      <c r="O130" s="18" t="b">
        <f>FALSE()</f>
        <v>0</v>
      </c>
      <c r="P130" s="19" t="str">
        <f t="shared" si="15"/>
        <v/>
      </c>
      <c r="Q130" s="19" t="b">
        <f>FALSE()</f>
        <v>0</v>
      </c>
      <c r="R130" s="17" t="str">
        <f t="shared" si="16"/>
        <v/>
      </c>
      <c r="S130" s="18" t="b">
        <f>FALSE()</f>
        <v>0</v>
      </c>
      <c r="T130" s="19" t="str">
        <f t="shared" si="19"/>
        <v/>
      </c>
      <c r="U130" s="18" t="b">
        <f>FALSE()</f>
        <v>0</v>
      </c>
      <c r="V130" s="19" t="str">
        <f t="shared" si="21"/>
        <v/>
      </c>
      <c r="W130" s="18" t="b">
        <f>FALSE()</f>
        <v>0</v>
      </c>
      <c r="X130" s="19" t="str">
        <f>IF(Y130=TRUE(),$I130,"")</f>
        <v/>
      </c>
      <c r="Y130" s="18" t="b">
        <f>FALSE()</f>
        <v>0</v>
      </c>
    </row>
    <row r="131" spans="1:26" ht="14" x14ac:dyDescent="0.3">
      <c r="A131" s="10">
        <v>127</v>
      </c>
      <c r="B131" s="27" t="s">
        <v>161</v>
      </c>
      <c r="C131" s="27" t="s">
        <v>57</v>
      </c>
      <c r="D131" s="84">
        <v>46173</v>
      </c>
      <c r="E131" s="84">
        <v>46174</v>
      </c>
      <c r="F131" s="13">
        <f t="shared" si="10"/>
        <v>2</v>
      </c>
      <c r="G131" s="13">
        <v>300</v>
      </c>
      <c r="H131" s="41">
        <v>0</v>
      </c>
      <c r="I131" s="52">
        <f t="shared" si="18"/>
        <v>0</v>
      </c>
      <c r="J131" s="17" t="str">
        <f t="shared" si="12"/>
        <v/>
      </c>
      <c r="K131" s="18" t="b">
        <f>FALSE()</f>
        <v>0</v>
      </c>
      <c r="L131" s="29">
        <f t="shared" si="13"/>
        <v>0</v>
      </c>
      <c r="M131" s="19" t="b">
        <f>TRUE()</f>
        <v>1</v>
      </c>
      <c r="N131" s="17" t="str">
        <f t="shared" si="14"/>
        <v/>
      </c>
      <c r="O131" s="18" t="b">
        <f>FALSE()</f>
        <v>0</v>
      </c>
      <c r="P131" s="19" t="str">
        <f t="shared" si="15"/>
        <v/>
      </c>
      <c r="Q131" s="19" t="b">
        <f>FALSE()</f>
        <v>0</v>
      </c>
      <c r="R131" s="17" t="str">
        <f t="shared" si="16"/>
        <v/>
      </c>
      <c r="S131" s="18" t="b">
        <f>FALSE()</f>
        <v>0</v>
      </c>
      <c r="T131" s="19" t="str">
        <f t="shared" si="19"/>
        <v/>
      </c>
      <c r="U131" s="18" t="b">
        <f>FALSE()</f>
        <v>0</v>
      </c>
      <c r="V131" s="19" t="str">
        <f t="shared" si="21"/>
        <v/>
      </c>
      <c r="W131" s="18" t="b">
        <f>FALSE()</f>
        <v>0</v>
      </c>
      <c r="X131" s="19"/>
      <c r="Y131" s="18" t="b">
        <f>FALSE()</f>
        <v>0</v>
      </c>
      <c r="Z131" s="54" t="s">
        <v>162</v>
      </c>
    </row>
    <row r="132" spans="1:26" ht="14" x14ac:dyDescent="0.25">
      <c r="A132" s="10">
        <v>128</v>
      </c>
      <c r="B132" s="27" t="s">
        <v>163</v>
      </c>
      <c r="C132" s="27" t="s">
        <v>57</v>
      </c>
      <c r="D132" s="84">
        <v>46175</v>
      </c>
      <c r="E132" s="84">
        <v>46204</v>
      </c>
      <c r="F132" s="13">
        <f t="shared" ref="F132:F195" si="22">(E132-D132)+1</f>
        <v>30</v>
      </c>
      <c r="G132" s="13">
        <v>450</v>
      </c>
      <c r="H132" s="41">
        <v>810</v>
      </c>
      <c r="I132" s="52">
        <f t="shared" si="18"/>
        <v>0.06</v>
      </c>
      <c r="J132" s="30" t="str">
        <f t="shared" si="12"/>
        <v/>
      </c>
      <c r="K132" s="24" t="b">
        <f>FALSE()</f>
        <v>0</v>
      </c>
      <c r="L132" s="26" t="str">
        <f t="shared" si="13"/>
        <v/>
      </c>
      <c r="M132" s="26" t="b">
        <f>FALSE()</f>
        <v>0</v>
      </c>
      <c r="N132" s="23">
        <f t="shared" si="14"/>
        <v>0.06</v>
      </c>
      <c r="O132" s="24" t="b">
        <f>TRUE()</f>
        <v>1</v>
      </c>
      <c r="P132" s="26" t="str">
        <f t="shared" si="15"/>
        <v/>
      </c>
      <c r="Q132" s="26" t="b">
        <f>FALSE()</f>
        <v>0</v>
      </c>
      <c r="R132" s="30" t="str">
        <f t="shared" si="16"/>
        <v/>
      </c>
      <c r="S132" s="24" t="b">
        <f>FALSE()</f>
        <v>0</v>
      </c>
      <c r="T132" s="26" t="str">
        <f t="shared" si="19"/>
        <v/>
      </c>
      <c r="U132" s="24" t="b">
        <f>FALSE()</f>
        <v>0</v>
      </c>
      <c r="V132" s="26" t="str">
        <f t="shared" si="21"/>
        <v/>
      </c>
      <c r="W132" s="24" t="b">
        <f>FALSE()</f>
        <v>0</v>
      </c>
      <c r="X132" s="26" t="str">
        <f>IF(Y132=TRUE(),$I132,"")</f>
        <v/>
      </c>
      <c r="Y132" s="24" t="b">
        <f>FALSE()</f>
        <v>0</v>
      </c>
    </row>
    <row r="133" spans="1:26" ht="14" x14ac:dyDescent="0.25">
      <c r="A133" s="10">
        <v>129</v>
      </c>
      <c r="B133" s="27" t="s">
        <v>164</v>
      </c>
      <c r="C133" s="27" t="s">
        <v>165</v>
      </c>
      <c r="D133" s="84">
        <v>46188</v>
      </c>
      <c r="E133" s="84">
        <v>46217</v>
      </c>
      <c r="F133" s="13">
        <f t="shared" si="22"/>
        <v>30</v>
      </c>
      <c r="G133" s="13">
        <v>1800</v>
      </c>
      <c r="H133" s="41">
        <v>3500</v>
      </c>
      <c r="I133" s="52">
        <f t="shared" ref="I133:I164" si="23">IFERROR(H133/(F133*G133),"")</f>
        <v>6.4814814814814811E-2</v>
      </c>
      <c r="J133" s="31">
        <f t="shared" ref="J133:J196" si="24">IF(K133=TRUE(),$I133,"")</f>
        <v>6.4814814814814811E-2</v>
      </c>
      <c r="K133" s="18" t="b">
        <f>TRUE()</f>
        <v>1</v>
      </c>
      <c r="L133" s="29">
        <f t="shared" ref="L133:L196" si="25">IF(M133=TRUE(),$I133,"")</f>
        <v>6.4814814814814811E-2</v>
      </c>
      <c r="M133" s="19" t="b">
        <f>TRUE()</f>
        <v>1</v>
      </c>
      <c r="N133" s="17" t="str">
        <f t="shared" ref="N133:N196" si="26">IF(O133=TRUE(),$I133,"")</f>
        <v/>
      </c>
      <c r="O133" s="18" t="b">
        <f>FALSE()</f>
        <v>0</v>
      </c>
      <c r="P133" s="29">
        <f t="shared" ref="P133:P196" si="27">IF(Q133=TRUE(),$I133,"")</f>
        <v>6.4814814814814811E-2</v>
      </c>
      <c r="Q133" s="19" t="b">
        <f>TRUE()</f>
        <v>1</v>
      </c>
      <c r="R133" s="17" t="str">
        <f t="shared" ref="R133:R196" si="28">IF(S133=TRUE(),$I133,"")</f>
        <v/>
      </c>
      <c r="S133" s="18" t="b">
        <f>FALSE()</f>
        <v>0</v>
      </c>
      <c r="T133" s="29">
        <f t="shared" ref="T133:T164" si="29">IF(U133=TRUE(),$I133,"")</f>
        <v>6.4814814814814811E-2</v>
      </c>
      <c r="U133" s="18" t="b">
        <f>TRUE()</f>
        <v>1</v>
      </c>
      <c r="V133" s="19" t="str">
        <f t="shared" si="21"/>
        <v/>
      </c>
      <c r="W133" s="18" t="b">
        <f>FALSE()</f>
        <v>0</v>
      </c>
      <c r="X133" s="19" t="str">
        <f>IF(Y133=TRUE(),$I133,"")</f>
        <v/>
      </c>
      <c r="Y133" s="18" t="b">
        <f>FALSE()</f>
        <v>0</v>
      </c>
    </row>
    <row r="134" spans="1:26" ht="14" x14ac:dyDescent="0.25">
      <c r="A134" s="10">
        <v>130</v>
      </c>
      <c r="B134" s="27" t="s">
        <v>19</v>
      </c>
      <c r="C134" s="27" t="s">
        <v>57</v>
      </c>
      <c r="D134" s="84">
        <v>46174</v>
      </c>
      <c r="E134" s="84">
        <v>46234</v>
      </c>
      <c r="F134" s="13">
        <f t="shared" si="22"/>
        <v>61</v>
      </c>
      <c r="G134" s="13">
        <v>1800</v>
      </c>
      <c r="H134" s="41">
        <v>4800</v>
      </c>
      <c r="I134" s="52">
        <f t="shared" si="23"/>
        <v>4.3715846994535519E-2</v>
      </c>
      <c r="J134" s="30" t="str">
        <f t="shared" si="24"/>
        <v/>
      </c>
      <c r="K134" s="24" t="b">
        <f>FALSE()</f>
        <v>0</v>
      </c>
      <c r="L134" s="26" t="str">
        <f t="shared" si="25"/>
        <v/>
      </c>
      <c r="M134" s="26" t="b">
        <f>FALSE()</f>
        <v>0</v>
      </c>
      <c r="N134" s="23">
        <f t="shared" si="26"/>
        <v>4.3715846994535519E-2</v>
      </c>
      <c r="O134" s="24" t="b">
        <f>TRUE()</f>
        <v>1</v>
      </c>
      <c r="P134" s="25">
        <f t="shared" si="27"/>
        <v>4.3715846994535519E-2</v>
      </c>
      <c r="Q134" s="26" t="b">
        <f>TRUE()</f>
        <v>1</v>
      </c>
      <c r="R134" s="30" t="str">
        <f t="shared" si="28"/>
        <v/>
      </c>
      <c r="S134" s="24" t="b">
        <f>FALSE()</f>
        <v>0</v>
      </c>
      <c r="T134" s="26" t="str">
        <f t="shared" si="29"/>
        <v/>
      </c>
      <c r="U134" s="24" t="b">
        <f>FALSE()</f>
        <v>0</v>
      </c>
      <c r="V134" s="26" t="str">
        <f t="shared" si="21"/>
        <v/>
      </c>
      <c r="W134" s="24" t="b">
        <f>FALSE()</f>
        <v>0</v>
      </c>
      <c r="X134" s="26" t="str">
        <f>IF(Y134=TRUE(),$I134,"")</f>
        <v/>
      </c>
      <c r="Y134" s="24" t="b">
        <f>FALSE()</f>
        <v>0</v>
      </c>
    </row>
    <row r="135" spans="1:26" ht="14" x14ac:dyDescent="0.25">
      <c r="A135" s="10">
        <v>131</v>
      </c>
      <c r="B135" s="27" t="s">
        <v>77</v>
      </c>
      <c r="C135" s="27" t="s">
        <v>57</v>
      </c>
      <c r="D135" s="84">
        <v>46176</v>
      </c>
      <c r="E135" s="84">
        <v>46205</v>
      </c>
      <c r="F135" s="13">
        <f t="shared" si="22"/>
        <v>30</v>
      </c>
      <c r="G135" s="13">
        <v>1350</v>
      </c>
      <c r="H135" s="41">
        <v>2700</v>
      </c>
      <c r="I135" s="52">
        <f t="shared" si="23"/>
        <v>6.6666666666666666E-2</v>
      </c>
      <c r="J135" s="17" t="str">
        <f t="shared" si="24"/>
        <v/>
      </c>
      <c r="K135" s="18" t="b">
        <f>FALSE()</f>
        <v>0</v>
      </c>
      <c r="L135" s="19" t="str">
        <f t="shared" si="25"/>
        <v/>
      </c>
      <c r="M135" s="19" t="b">
        <f>FALSE()</f>
        <v>0</v>
      </c>
      <c r="N135" s="31">
        <f t="shared" si="26"/>
        <v>6.6666666666666666E-2</v>
      </c>
      <c r="O135" s="18" t="b">
        <f>TRUE()</f>
        <v>1</v>
      </c>
      <c r="P135" s="29">
        <f t="shared" si="27"/>
        <v>6.6666666666666666E-2</v>
      </c>
      <c r="Q135" s="19" t="b">
        <f>TRUE()</f>
        <v>1</v>
      </c>
      <c r="R135" s="17" t="str">
        <f t="shared" si="28"/>
        <v/>
      </c>
      <c r="S135" s="18" t="b">
        <f>FALSE()</f>
        <v>0</v>
      </c>
      <c r="T135" s="29">
        <f t="shared" si="29"/>
        <v>6.6666666666666666E-2</v>
      </c>
      <c r="U135" s="18" t="b">
        <f>TRUE()</f>
        <v>1</v>
      </c>
      <c r="V135" s="19" t="str">
        <f t="shared" si="21"/>
        <v/>
      </c>
      <c r="W135" s="18" t="b">
        <f>FALSE()</f>
        <v>0</v>
      </c>
      <c r="X135" s="19" t="str">
        <f>IF(Y135=TRUE(),$I135,"")</f>
        <v/>
      </c>
      <c r="Y135" s="18" t="b">
        <f>FALSE()</f>
        <v>0</v>
      </c>
    </row>
    <row r="136" spans="1:26" ht="14" x14ac:dyDescent="0.25">
      <c r="A136" s="10">
        <v>132</v>
      </c>
      <c r="B136" s="27" t="s">
        <v>138</v>
      </c>
      <c r="C136" s="27" t="s">
        <v>57</v>
      </c>
      <c r="D136" s="84">
        <v>46174</v>
      </c>
      <c r="E136" s="84">
        <v>46203</v>
      </c>
      <c r="F136" s="13">
        <f t="shared" si="22"/>
        <v>30</v>
      </c>
      <c r="G136" s="13">
        <v>900</v>
      </c>
      <c r="H136" s="41">
        <v>1440</v>
      </c>
      <c r="I136" s="52">
        <f t="shared" si="23"/>
        <v>5.3333333333333337E-2</v>
      </c>
      <c r="J136" s="17" t="str">
        <f t="shared" si="24"/>
        <v/>
      </c>
      <c r="K136" s="18" t="b">
        <f>FALSE()</f>
        <v>0</v>
      </c>
      <c r="L136" s="19" t="str">
        <f t="shared" si="25"/>
        <v/>
      </c>
      <c r="M136" s="19" t="b">
        <f>FALSE()</f>
        <v>0</v>
      </c>
      <c r="N136" s="17" t="str">
        <f t="shared" si="26"/>
        <v/>
      </c>
      <c r="O136" s="18" t="b">
        <f>FALSE()</f>
        <v>0</v>
      </c>
      <c r="P136" s="29">
        <f t="shared" si="27"/>
        <v>5.3333333333333337E-2</v>
      </c>
      <c r="Q136" s="19" t="b">
        <f>TRUE()</f>
        <v>1</v>
      </c>
      <c r="R136" s="17" t="str">
        <f t="shared" si="28"/>
        <v/>
      </c>
      <c r="S136" s="18" t="b">
        <f>FALSE()</f>
        <v>0</v>
      </c>
      <c r="T136" s="29">
        <f t="shared" si="29"/>
        <v>5.3333333333333337E-2</v>
      </c>
      <c r="U136" s="18" t="b">
        <f>TRUE()</f>
        <v>1</v>
      </c>
      <c r="V136" s="29">
        <f t="shared" si="21"/>
        <v>5.3333333333333337E-2</v>
      </c>
      <c r="W136" s="18" t="b">
        <f>TRUE()</f>
        <v>1</v>
      </c>
      <c r="X136" s="19"/>
      <c r="Y136" s="18" t="b">
        <f>FALSE()</f>
        <v>0</v>
      </c>
    </row>
    <row r="137" spans="1:26" ht="14" x14ac:dyDescent="0.25">
      <c r="A137" s="10">
        <v>133</v>
      </c>
      <c r="B137" s="27" t="s">
        <v>132</v>
      </c>
      <c r="C137" s="27" t="s">
        <v>166</v>
      </c>
      <c r="D137" s="84">
        <v>46177</v>
      </c>
      <c r="E137" s="84">
        <v>46203</v>
      </c>
      <c r="F137" s="13">
        <f t="shared" si="22"/>
        <v>27</v>
      </c>
      <c r="G137" s="13">
        <v>1800</v>
      </c>
      <c r="H137" s="41">
        <v>3240</v>
      </c>
      <c r="I137" s="52">
        <f t="shared" si="23"/>
        <v>6.6666666666666666E-2</v>
      </c>
      <c r="J137" s="30" t="str">
        <f t="shared" si="24"/>
        <v/>
      </c>
      <c r="K137" s="24" t="b">
        <f>FALSE()</f>
        <v>0</v>
      </c>
      <c r="L137" s="25">
        <f t="shared" si="25"/>
        <v>6.6666666666666666E-2</v>
      </c>
      <c r="M137" s="26" t="b">
        <f>TRUE()</f>
        <v>1</v>
      </c>
      <c r="N137" s="23">
        <f t="shared" si="26"/>
        <v>6.6666666666666666E-2</v>
      </c>
      <c r="O137" s="24" t="b">
        <f>TRUE()</f>
        <v>1</v>
      </c>
      <c r="P137" s="25">
        <f t="shared" si="27"/>
        <v>6.6666666666666666E-2</v>
      </c>
      <c r="Q137" s="26" t="b">
        <f>TRUE()</f>
        <v>1</v>
      </c>
      <c r="R137" s="23">
        <f t="shared" si="28"/>
        <v>6.6666666666666666E-2</v>
      </c>
      <c r="S137" s="24" t="b">
        <f>TRUE()</f>
        <v>1</v>
      </c>
      <c r="T137" s="26" t="str">
        <f t="shared" si="29"/>
        <v/>
      </c>
      <c r="U137" s="24" t="b">
        <f>FALSE()</f>
        <v>0</v>
      </c>
      <c r="V137" s="26" t="str">
        <f t="shared" si="21"/>
        <v/>
      </c>
      <c r="W137" s="24" t="b">
        <f>FALSE()</f>
        <v>0</v>
      </c>
      <c r="X137" s="26" t="str">
        <f>IF(Y137=TRUE(),$I137,"")</f>
        <v/>
      </c>
      <c r="Y137" s="24" t="b">
        <f>FALSE()</f>
        <v>0</v>
      </c>
    </row>
    <row r="138" spans="1:26" ht="14" x14ac:dyDescent="0.25">
      <c r="A138" s="10">
        <v>134</v>
      </c>
      <c r="B138" s="27" t="s">
        <v>167</v>
      </c>
      <c r="C138" s="27" t="s">
        <v>168</v>
      </c>
      <c r="D138" s="84">
        <v>46177</v>
      </c>
      <c r="E138" s="84">
        <v>46206</v>
      </c>
      <c r="F138" s="13">
        <f t="shared" si="22"/>
        <v>30</v>
      </c>
      <c r="G138" s="13">
        <v>450</v>
      </c>
      <c r="H138" s="41">
        <v>900</v>
      </c>
      <c r="I138" s="52">
        <f t="shared" si="23"/>
        <v>6.6666666666666666E-2</v>
      </c>
      <c r="J138" s="17" t="str">
        <f t="shared" si="24"/>
        <v/>
      </c>
      <c r="K138" s="18" t="b">
        <f>FALSE()</f>
        <v>0</v>
      </c>
      <c r="L138" s="19" t="str">
        <f t="shared" si="25"/>
        <v/>
      </c>
      <c r="M138" s="19" t="b">
        <f>FALSE()</f>
        <v>0</v>
      </c>
      <c r="N138" s="17" t="str">
        <f t="shared" si="26"/>
        <v/>
      </c>
      <c r="O138" s="18" t="b">
        <f>FALSE()</f>
        <v>0</v>
      </c>
      <c r="P138" s="29">
        <f t="shared" si="27"/>
        <v>6.6666666666666666E-2</v>
      </c>
      <c r="Q138" s="19" t="b">
        <f>TRUE()</f>
        <v>1</v>
      </c>
      <c r="R138" s="17" t="str">
        <f t="shared" si="28"/>
        <v/>
      </c>
      <c r="S138" s="18" t="b">
        <f>FALSE()</f>
        <v>0</v>
      </c>
      <c r="T138" s="19" t="str">
        <f t="shared" si="29"/>
        <v/>
      </c>
      <c r="U138" s="18" t="b">
        <f>FALSE()</f>
        <v>0</v>
      </c>
      <c r="V138" s="19" t="str">
        <f t="shared" si="21"/>
        <v/>
      </c>
      <c r="W138" s="18" t="b">
        <f>FALSE()</f>
        <v>0</v>
      </c>
      <c r="X138" s="19" t="str">
        <f>IF(Y138=TRUE(),$I138,"")</f>
        <v/>
      </c>
      <c r="Y138" s="18" t="b">
        <f>FALSE()</f>
        <v>0</v>
      </c>
    </row>
    <row r="139" spans="1:26" ht="14" x14ac:dyDescent="0.25">
      <c r="A139" s="10">
        <v>135</v>
      </c>
      <c r="B139" s="27" t="s">
        <v>169</v>
      </c>
      <c r="C139" s="27" t="s">
        <v>166</v>
      </c>
      <c r="D139" s="84">
        <v>46184</v>
      </c>
      <c r="E139" s="84">
        <v>46219</v>
      </c>
      <c r="F139" s="13">
        <f t="shared" si="22"/>
        <v>36</v>
      </c>
      <c r="G139" s="13">
        <v>900</v>
      </c>
      <c r="H139" s="41">
        <v>1800</v>
      </c>
      <c r="I139" s="52">
        <f t="shared" si="23"/>
        <v>5.5555555555555552E-2</v>
      </c>
      <c r="J139" s="30" t="str">
        <f t="shared" si="24"/>
        <v/>
      </c>
      <c r="K139" s="24" t="b">
        <f>FALSE()</f>
        <v>0</v>
      </c>
      <c r="L139" s="26" t="str">
        <f t="shared" si="25"/>
        <v/>
      </c>
      <c r="M139" s="26" t="b">
        <f>FALSE()</f>
        <v>0</v>
      </c>
      <c r="N139" s="30" t="str">
        <f t="shared" si="26"/>
        <v/>
      </c>
      <c r="O139" s="24" t="b">
        <f>FALSE()</f>
        <v>0</v>
      </c>
      <c r="P139" s="25">
        <f t="shared" si="27"/>
        <v>5.5555555555555552E-2</v>
      </c>
      <c r="Q139" s="26" t="b">
        <f>TRUE()</f>
        <v>1</v>
      </c>
      <c r="R139" s="23">
        <f t="shared" si="28"/>
        <v>5.5555555555555552E-2</v>
      </c>
      <c r="S139" s="24" t="b">
        <f>TRUE()</f>
        <v>1</v>
      </c>
      <c r="T139" s="26" t="str">
        <f t="shared" si="29"/>
        <v/>
      </c>
      <c r="U139" s="24" t="b">
        <f>FALSE()</f>
        <v>0</v>
      </c>
      <c r="V139" s="26" t="str">
        <f t="shared" si="21"/>
        <v/>
      </c>
      <c r="W139" s="24" t="b">
        <f>FALSE()</f>
        <v>0</v>
      </c>
      <c r="X139" s="26" t="str">
        <f>IF(Y139=TRUE(),$I139,"")</f>
        <v/>
      </c>
      <c r="Y139" s="24" t="b">
        <f>FALSE()</f>
        <v>0</v>
      </c>
    </row>
    <row r="140" spans="1:26" ht="14" x14ac:dyDescent="0.25">
      <c r="A140" s="10">
        <v>136</v>
      </c>
      <c r="B140" s="27" t="s">
        <v>170</v>
      </c>
      <c r="C140" s="27"/>
      <c r="D140" s="84">
        <v>46178</v>
      </c>
      <c r="E140" s="84">
        <v>46180</v>
      </c>
      <c r="F140" s="13">
        <f t="shared" si="22"/>
        <v>3</v>
      </c>
      <c r="G140" s="13">
        <v>1800</v>
      </c>
      <c r="H140" s="41">
        <v>486</v>
      </c>
      <c r="I140" s="52">
        <f t="shared" si="23"/>
        <v>0.09</v>
      </c>
      <c r="J140" s="17" t="str">
        <f t="shared" si="24"/>
        <v/>
      </c>
      <c r="K140" s="18" t="b">
        <f>FALSE()</f>
        <v>0</v>
      </c>
      <c r="L140" s="19" t="str">
        <f t="shared" si="25"/>
        <v/>
      </c>
      <c r="M140" s="19" t="b">
        <f>FALSE()</f>
        <v>0</v>
      </c>
      <c r="N140" s="31">
        <f t="shared" si="26"/>
        <v>0.09</v>
      </c>
      <c r="O140" s="18" t="b">
        <f>TRUE()</f>
        <v>1</v>
      </c>
      <c r="P140" s="29">
        <f t="shared" si="27"/>
        <v>0.09</v>
      </c>
      <c r="Q140" s="19" t="b">
        <f>TRUE()</f>
        <v>1</v>
      </c>
      <c r="R140" s="17" t="str">
        <f t="shared" si="28"/>
        <v/>
      </c>
      <c r="S140" s="18" t="b">
        <f>FALSE()</f>
        <v>0</v>
      </c>
      <c r="T140" s="19" t="str">
        <f t="shared" si="29"/>
        <v/>
      </c>
      <c r="U140" s="18" t="b">
        <f>FALSE()</f>
        <v>0</v>
      </c>
      <c r="V140" s="19" t="str">
        <f t="shared" si="21"/>
        <v/>
      </c>
      <c r="W140" s="18" t="b">
        <f>FALSE()</f>
        <v>0</v>
      </c>
      <c r="X140" s="19" t="str">
        <f>IF(Y140=TRUE(),$I140,"")</f>
        <v/>
      </c>
      <c r="Y140" s="18" t="b">
        <f>FALSE()</f>
        <v>0</v>
      </c>
    </row>
    <row r="141" spans="1:26" ht="14" x14ac:dyDescent="0.3">
      <c r="A141" s="10">
        <v>137</v>
      </c>
      <c r="B141" s="27" t="s">
        <v>171</v>
      </c>
      <c r="C141" s="27" t="s">
        <v>172</v>
      </c>
      <c r="D141" s="84">
        <v>46178</v>
      </c>
      <c r="E141" s="84">
        <v>46207</v>
      </c>
      <c r="F141" s="13">
        <f t="shared" si="22"/>
        <v>30</v>
      </c>
      <c r="G141" s="13">
        <v>450</v>
      </c>
      <c r="H141" s="41">
        <v>810</v>
      </c>
      <c r="I141" s="52">
        <f t="shared" si="23"/>
        <v>0.06</v>
      </c>
      <c r="J141" s="17" t="str">
        <f t="shared" si="24"/>
        <v/>
      </c>
      <c r="K141" s="18" t="b">
        <f>FALSE()</f>
        <v>0</v>
      </c>
      <c r="L141" s="19" t="str">
        <f t="shared" si="25"/>
        <v/>
      </c>
      <c r="M141" s="19" t="b">
        <f>FALSE()</f>
        <v>0</v>
      </c>
      <c r="N141" s="17" t="str">
        <f t="shared" si="26"/>
        <v/>
      </c>
      <c r="O141" s="18" t="b">
        <f>FALSE()</f>
        <v>0</v>
      </c>
      <c r="P141" s="29">
        <f t="shared" si="27"/>
        <v>0.06</v>
      </c>
      <c r="Q141" s="19" t="b">
        <f>TRUE()</f>
        <v>1</v>
      </c>
      <c r="R141" s="17" t="str">
        <f t="shared" si="28"/>
        <v/>
      </c>
      <c r="S141" s="18" t="b">
        <f>FALSE()</f>
        <v>0</v>
      </c>
      <c r="T141" s="19" t="str">
        <f t="shared" si="29"/>
        <v/>
      </c>
      <c r="U141" s="18" t="b">
        <f>FALSE()</f>
        <v>0</v>
      </c>
      <c r="V141" s="19" t="str">
        <f t="shared" si="21"/>
        <v/>
      </c>
      <c r="W141" s="18" t="b">
        <f>FALSE()</f>
        <v>0</v>
      </c>
      <c r="X141" s="19"/>
      <c r="Y141" s="18" t="b">
        <f>FALSE()</f>
        <v>0</v>
      </c>
      <c r="Z141" s="54" t="s">
        <v>173</v>
      </c>
    </row>
    <row r="142" spans="1:26" ht="14" x14ac:dyDescent="0.25">
      <c r="A142" s="10">
        <v>138</v>
      </c>
      <c r="B142" s="27" t="s">
        <v>21</v>
      </c>
      <c r="C142" s="27" t="s">
        <v>174</v>
      </c>
      <c r="D142" s="84">
        <v>46181</v>
      </c>
      <c r="E142" s="84">
        <v>46213</v>
      </c>
      <c r="F142" s="13">
        <f t="shared" si="22"/>
        <v>33</v>
      </c>
      <c r="G142" s="13">
        <v>1500</v>
      </c>
      <c r="H142" s="41">
        <v>1800</v>
      </c>
      <c r="I142" s="52">
        <f t="shared" si="23"/>
        <v>3.6363636363636362E-2</v>
      </c>
      <c r="J142" s="30" t="str">
        <f t="shared" si="24"/>
        <v/>
      </c>
      <c r="K142" s="24" t="b">
        <f>FALSE()</f>
        <v>0</v>
      </c>
      <c r="L142" s="25">
        <f t="shared" si="25"/>
        <v>3.6363636363636362E-2</v>
      </c>
      <c r="M142" s="26" t="b">
        <f>TRUE()</f>
        <v>1</v>
      </c>
      <c r="N142" s="23">
        <f t="shared" si="26"/>
        <v>3.6363636363636362E-2</v>
      </c>
      <c r="O142" s="24" t="b">
        <f>TRUE()</f>
        <v>1</v>
      </c>
      <c r="P142" s="25">
        <f t="shared" si="27"/>
        <v>3.6363636363636362E-2</v>
      </c>
      <c r="Q142" s="26" t="b">
        <f>TRUE()</f>
        <v>1</v>
      </c>
      <c r="R142" s="23">
        <f t="shared" si="28"/>
        <v>3.6363636363636362E-2</v>
      </c>
      <c r="S142" s="24" t="b">
        <f>TRUE()</f>
        <v>1</v>
      </c>
      <c r="T142" s="25">
        <f t="shared" si="29"/>
        <v>3.6363636363636362E-2</v>
      </c>
      <c r="U142" s="24" t="b">
        <f>TRUE()</f>
        <v>1</v>
      </c>
      <c r="V142" s="26" t="str">
        <f t="shared" si="21"/>
        <v/>
      </c>
      <c r="W142" s="24" t="b">
        <f>FALSE()</f>
        <v>0</v>
      </c>
      <c r="X142" s="26" t="str">
        <f>IF(Y142=TRUE(),$I142,"")</f>
        <v/>
      </c>
      <c r="Y142" s="24" t="b">
        <f>FALSE()</f>
        <v>0</v>
      </c>
    </row>
    <row r="143" spans="1:26" ht="14" x14ac:dyDescent="0.25">
      <c r="A143" s="10">
        <v>139</v>
      </c>
      <c r="B143" s="27" t="s">
        <v>175</v>
      </c>
      <c r="C143" s="27" t="s">
        <v>176</v>
      </c>
      <c r="D143" s="84">
        <v>46181</v>
      </c>
      <c r="E143" s="84">
        <v>46394</v>
      </c>
      <c r="F143" s="13">
        <f t="shared" si="22"/>
        <v>214</v>
      </c>
      <c r="G143" s="13">
        <v>900</v>
      </c>
      <c r="H143" s="41">
        <v>10500</v>
      </c>
      <c r="I143" s="52">
        <f t="shared" si="23"/>
        <v>5.4517133956386292E-2</v>
      </c>
      <c r="J143" s="31">
        <f t="shared" si="24"/>
        <v>5.4517133956386292E-2</v>
      </c>
      <c r="K143" s="18" t="b">
        <f>TRUE()</f>
        <v>1</v>
      </c>
      <c r="L143" s="29">
        <f t="shared" si="25"/>
        <v>5.4517133956386292E-2</v>
      </c>
      <c r="M143" s="19" t="b">
        <f>TRUE()</f>
        <v>1</v>
      </c>
      <c r="N143" s="31">
        <f t="shared" si="26"/>
        <v>5.4517133956386292E-2</v>
      </c>
      <c r="O143" s="18" t="b">
        <f>TRUE()</f>
        <v>1</v>
      </c>
      <c r="P143" s="19" t="str">
        <f t="shared" si="27"/>
        <v/>
      </c>
      <c r="Q143" s="19" t="b">
        <f>FALSE()</f>
        <v>0</v>
      </c>
      <c r="R143" s="17" t="str">
        <f t="shared" si="28"/>
        <v/>
      </c>
      <c r="S143" s="18" t="b">
        <f>FALSE()</f>
        <v>0</v>
      </c>
      <c r="T143" s="19" t="str">
        <f t="shared" si="29"/>
        <v/>
      </c>
      <c r="U143" s="18" t="b">
        <f>FALSE()</f>
        <v>0</v>
      </c>
      <c r="V143" s="19" t="str">
        <f t="shared" si="21"/>
        <v/>
      </c>
      <c r="W143" s="18" t="b">
        <f>FALSE()</f>
        <v>0</v>
      </c>
      <c r="X143" s="19" t="str">
        <f>IF(Y143=TRUE(),$I143,"")</f>
        <v/>
      </c>
      <c r="Y143" s="18" t="b">
        <f>FALSE()</f>
        <v>0</v>
      </c>
    </row>
    <row r="144" spans="1:26" ht="14" x14ac:dyDescent="0.25">
      <c r="A144" s="10">
        <v>140</v>
      </c>
      <c r="B144" s="27" t="s">
        <v>51</v>
      </c>
      <c r="C144" s="27" t="s">
        <v>166</v>
      </c>
      <c r="D144" s="84">
        <v>46191</v>
      </c>
      <c r="E144" s="84">
        <v>46251</v>
      </c>
      <c r="F144" s="13">
        <f t="shared" si="22"/>
        <v>61</v>
      </c>
      <c r="G144" s="13">
        <v>300</v>
      </c>
      <c r="H144" s="41">
        <v>550</v>
      </c>
      <c r="I144" s="52">
        <f t="shared" si="23"/>
        <v>3.0054644808743168E-2</v>
      </c>
      <c r="J144" s="30" t="str">
        <f t="shared" si="24"/>
        <v/>
      </c>
      <c r="K144" s="24" t="b">
        <f>FALSE()</f>
        <v>0</v>
      </c>
      <c r="L144" s="26" t="str">
        <f t="shared" si="25"/>
        <v/>
      </c>
      <c r="M144" s="26" t="b">
        <f>FALSE()</f>
        <v>0</v>
      </c>
      <c r="N144" s="30" t="str">
        <f t="shared" si="26"/>
        <v/>
      </c>
      <c r="O144" s="24" t="b">
        <f>FALSE()</f>
        <v>0</v>
      </c>
      <c r="P144" s="25">
        <f t="shared" si="27"/>
        <v>3.0054644808743168E-2</v>
      </c>
      <c r="Q144" s="26" t="b">
        <f>TRUE()</f>
        <v>1</v>
      </c>
      <c r="R144" s="30" t="str">
        <f t="shared" si="28"/>
        <v/>
      </c>
      <c r="S144" s="24" t="b">
        <f>FALSE()</f>
        <v>0</v>
      </c>
      <c r="T144" s="26" t="str">
        <f t="shared" si="29"/>
        <v/>
      </c>
      <c r="U144" s="24" t="b">
        <f>FALSE()</f>
        <v>0</v>
      </c>
      <c r="V144" s="26" t="str">
        <f t="shared" si="21"/>
        <v/>
      </c>
      <c r="W144" s="24" t="b">
        <f>FALSE()</f>
        <v>0</v>
      </c>
      <c r="X144" s="26" t="str">
        <f>IF(Y144=TRUE(),$I144,"")</f>
        <v/>
      </c>
      <c r="Y144" s="24" t="b">
        <f>FALSE()</f>
        <v>0</v>
      </c>
    </row>
    <row r="145" spans="1:26" ht="14" x14ac:dyDescent="0.25">
      <c r="A145" s="10">
        <v>141</v>
      </c>
      <c r="B145" s="27" t="s">
        <v>91</v>
      </c>
      <c r="C145" s="27" t="s">
        <v>177</v>
      </c>
      <c r="D145" s="84">
        <v>46182</v>
      </c>
      <c r="E145" s="84">
        <v>46211</v>
      </c>
      <c r="F145" s="13">
        <f t="shared" si="22"/>
        <v>30</v>
      </c>
      <c r="G145" s="13">
        <v>900</v>
      </c>
      <c r="H145" s="41">
        <v>1350</v>
      </c>
      <c r="I145" s="52">
        <f t="shared" si="23"/>
        <v>0.05</v>
      </c>
      <c r="J145" s="17" t="str">
        <f t="shared" si="24"/>
        <v/>
      </c>
      <c r="K145" s="18" t="b">
        <f>FALSE()</f>
        <v>0</v>
      </c>
      <c r="L145" s="19" t="str">
        <f t="shared" si="25"/>
        <v/>
      </c>
      <c r="M145" s="19" t="b">
        <f>FALSE()</f>
        <v>0</v>
      </c>
      <c r="N145" s="31">
        <f t="shared" si="26"/>
        <v>0.05</v>
      </c>
      <c r="O145" s="18" t="b">
        <f>TRUE()</f>
        <v>1</v>
      </c>
      <c r="P145" s="29">
        <f t="shared" si="27"/>
        <v>0.05</v>
      </c>
      <c r="Q145" s="19" t="b">
        <f>TRUE()</f>
        <v>1</v>
      </c>
      <c r="R145" s="17" t="str">
        <f t="shared" si="28"/>
        <v/>
      </c>
      <c r="S145" s="18" t="b">
        <f>FALSE()</f>
        <v>0</v>
      </c>
      <c r="T145" s="19" t="str">
        <f t="shared" si="29"/>
        <v/>
      </c>
      <c r="U145" s="18" t="b">
        <f>FALSE()</f>
        <v>0</v>
      </c>
      <c r="V145" s="19" t="str">
        <f t="shared" si="21"/>
        <v/>
      </c>
      <c r="W145" s="18" t="b">
        <f>FALSE()</f>
        <v>0</v>
      </c>
      <c r="X145" s="19" t="str">
        <f>IF(Y145=TRUE(),$I145,"")</f>
        <v/>
      </c>
      <c r="Y145" s="18" t="b">
        <f>FALSE()</f>
        <v>0</v>
      </c>
    </row>
    <row r="146" spans="1:26" ht="14" x14ac:dyDescent="0.25">
      <c r="A146" s="10">
        <v>142</v>
      </c>
      <c r="B146" s="27" t="s">
        <v>110</v>
      </c>
      <c r="C146" s="27" t="s">
        <v>178</v>
      </c>
      <c r="D146" s="84">
        <v>46179</v>
      </c>
      <c r="E146" s="84">
        <v>46208</v>
      </c>
      <c r="F146" s="13">
        <f t="shared" si="22"/>
        <v>30</v>
      </c>
      <c r="G146" s="13">
        <v>900</v>
      </c>
      <c r="H146" s="41">
        <v>1485</v>
      </c>
      <c r="I146" s="52">
        <f t="shared" si="23"/>
        <v>5.5E-2</v>
      </c>
      <c r="J146" s="31">
        <f t="shared" si="24"/>
        <v>5.5E-2</v>
      </c>
      <c r="K146" s="18" t="b">
        <f>TRUE()</f>
        <v>1</v>
      </c>
      <c r="L146" s="19" t="str">
        <f t="shared" si="25"/>
        <v/>
      </c>
      <c r="M146" s="19" t="b">
        <f>FALSE()</f>
        <v>0</v>
      </c>
      <c r="N146" s="31">
        <f t="shared" si="26"/>
        <v>5.5E-2</v>
      </c>
      <c r="O146" s="18" t="b">
        <f>TRUE()</f>
        <v>1</v>
      </c>
      <c r="P146" s="19" t="str">
        <f t="shared" si="27"/>
        <v/>
      </c>
      <c r="Q146" s="19" t="b">
        <f>FALSE()</f>
        <v>0</v>
      </c>
      <c r="R146" s="17" t="str">
        <f t="shared" si="28"/>
        <v/>
      </c>
      <c r="S146" s="18" t="b">
        <f>FALSE()</f>
        <v>0</v>
      </c>
      <c r="T146" s="19" t="str">
        <f t="shared" si="29"/>
        <v/>
      </c>
      <c r="U146" s="18" t="b">
        <f>FALSE()</f>
        <v>0</v>
      </c>
      <c r="V146" s="19" t="str">
        <f t="shared" si="21"/>
        <v/>
      </c>
      <c r="W146" s="18" t="b">
        <f>FALSE()</f>
        <v>0</v>
      </c>
      <c r="X146" s="19"/>
      <c r="Y146" s="18" t="b">
        <f>FALSE()</f>
        <v>0</v>
      </c>
    </row>
    <row r="147" spans="1:26" ht="14" x14ac:dyDescent="0.25">
      <c r="A147" s="10">
        <v>143</v>
      </c>
      <c r="B147" s="27" t="s">
        <v>179</v>
      </c>
      <c r="C147" s="27" t="s">
        <v>180</v>
      </c>
      <c r="D147" s="84">
        <v>46184</v>
      </c>
      <c r="E147" s="84">
        <v>46222</v>
      </c>
      <c r="F147" s="13">
        <f t="shared" si="22"/>
        <v>39</v>
      </c>
      <c r="G147" s="13">
        <v>1800</v>
      </c>
      <c r="H147" s="41">
        <v>3500</v>
      </c>
      <c r="I147" s="52">
        <f t="shared" si="23"/>
        <v>4.9857549857549859E-2</v>
      </c>
      <c r="J147" s="23">
        <f t="shared" si="24"/>
        <v>4.9857549857549859E-2</v>
      </c>
      <c r="K147" s="24" t="b">
        <f>TRUE()</f>
        <v>1</v>
      </c>
      <c r="L147" s="25">
        <f t="shared" si="25"/>
        <v>4.9857549857549859E-2</v>
      </c>
      <c r="M147" s="26" t="b">
        <f>TRUE()</f>
        <v>1</v>
      </c>
      <c r="N147" s="30" t="str">
        <f t="shared" si="26"/>
        <v/>
      </c>
      <c r="O147" s="24" t="b">
        <f>FALSE()</f>
        <v>0</v>
      </c>
      <c r="P147" s="25">
        <f t="shared" si="27"/>
        <v>4.9857549857549859E-2</v>
      </c>
      <c r="Q147" s="26" t="b">
        <f>TRUE()</f>
        <v>1</v>
      </c>
      <c r="R147" s="30" t="str">
        <f t="shared" si="28"/>
        <v/>
      </c>
      <c r="S147" s="24" t="b">
        <f>FALSE()</f>
        <v>0</v>
      </c>
      <c r="T147" s="25">
        <f t="shared" si="29"/>
        <v>4.9857549857549859E-2</v>
      </c>
      <c r="U147" s="24" t="b">
        <f>TRUE()</f>
        <v>1</v>
      </c>
      <c r="V147" s="26" t="str">
        <f t="shared" si="21"/>
        <v/>
      </c>
      <c r="W147" s="24" t="b">
        <f>FALSE()</f>
        <v>0</v>
      </c>
      <c r="X147" s="26" t="str">
        <f t="shared" ref="X147:X178" si="30">IF(Y147=TRUE(),$I147,"")</f>
        <v/>
      </c>
      <c r="Y147" s="24" t="b">
        <f>FALSE()</f>
        <v>0</v>
      </c>
    </row>
    <row r="148" spans="1:26" ht="14" x14ac:dyDescent="0.25">
      <c r="A148" s="10">
        <v>144</v>
      </c>
      <c r="B148" s="27" t="s">
        <v>169</v>
      </c>
      <c r="C148" s="27" t="s">
        <v>79</v>
      </c>
      <c r="D148" s="84">
        <v>46184</v>
      </c>
      <c r="E148" s="84">
        <v>46219</v>
      </c>
      <c r="F148" s="13">
        <f t="shared" si="22"/>
        <v>36</v>
      </c>
      <c r="G148" s="13">
        <v>900</v>
      </c>
      <c r="H148" s="41">
        <v>1800</v>
      </c>
      <c r="I148" s="52">
        <f t="shared" si="23"/>
        <v>5.5555555555555552E-2</v>
      </c>
      <c r="J148" s="17" t="str">
        <f t="shared" si="24"/>
        <v/>
      </c>
      <c r="K148" s="18" t="b">
        <f>FALSE()</f>
        <v>0</v>
      </c>
      <c r="L148" s="19" t="str">
        <f t="shared" si="25"/>
        <v/>
      </c>
      <c r="M148" s="19" t="b">
        <f>FALSE()</f>
        <v>0</v>
      </c>
      <c r="N148" s="17" t="str">
        <f t="shared" si="26"/>
        <v/>
      </c>
      <c r="O148" s="18" t="b">
        <f>FALSE()</f>
        <v>0</v>
      </c>
      <c r="P148" s="29">
        <f t="shared" si="27"/>
        <v>5.5555555555555552E-2</v>
      </c>
      <c r="Q148" s="19" t="b">
        <f>TRUE()</f>
        <v>1</v>
      </c>
      <c r="R148" s="31">
        <f t="shared" si="28"/>
        <v>5.5555555555555552E-2</v>
      </c>
      <c r="S148" s="18" t="b">
        <f>TRUE()</f>
        <v>1</v>
      </c>
      <c r="T148" s="19" t="str">
        <f t="shared" si="29"/>
        <v/>
      </c>
      <c r="U148" s="18" t="b">
        <f>FALSE()</f>
        <v>0</v>
      </c>
      <c r="V148" s="19" t="str">
        <f t="shared" si="21"/>
        <v/>
      </c>
      <c r="W148" s="18" t="b">
        <f>FALSE()</f>
        <v>0</v>
      </c>
      <c r="X148" s="19" t="str">
        <f t="shared" si="30"/>
        <v/>
      </c>
      <c r="Y148" s="18" t="b">
        <f>FALSE()</f>
        <v>0</v>
      </c>
    </row>
    <row r="149" spans="1:26" ht="14" x14ac:dyDescent="0.25">
      <c r="A149" s="10">
        <v>145</v>
      </c>
      <c r="B149" s="27" t="s">
        <v>181</v>
      </c>
      <c r="C149" s="27" t="s">
        <v>182</v>
      </c>
      <c r="D149" s="84">
        <v>46184</v>
      </c>
      <c r="E149" s="84">
        <v>46213</v>
      </c>
      <c r="F149" s="13">
        <f t="shared" si="22"/>
        <v>30</v>
      </c>
      <c r="G149" s="13">
        <v>1800</v>
      </c>
      <c r="H149" s="41">
        <v>3500</v>
      </c>
      <c r="I149" s="52">
        <f t="shared" si="23"/>
        <v>6.4814814814814811E-2</v>
      </c>
      <c r="J149" s="30" t="str">
        <f t="shared" si="24"/>
        <v/>
      </c>
      <c r="K149" s="24" t="b">
        <f>FALSE()</f>
        <v>0</v>
      </c>
      <c r="L149" s="26" t="str">
        <f t="shared" si="25"/>
        <v/>
      </c>
      <c r="M149" s="26" t="b">
        <f>FALSE()</f>
        <v>0</v>
      </c>
      <c r="N149" s="23">
        <f t="shared" si="26"/>
        <v>6.4814814814814811E-2</v>
      </c>
      <c r="O149" s="24" t="b">
        <f>TRUE()</f>
        <v>1</v>
      </c>
      <c r="P149" s="25">
        <f t="shared" si="27"/>
        <v>6.4814814814814811E-2</v>
      </c>
      <c r="Q149" s="26" t="b">
        <f>TRUE()</f>
        <v>1</v>
      </c>
      <c r="R149" s="23">
        <f t="shared" si="28"/>
        <v>6.4814814814814811E-2</v>
      </c>
      <c r="S149" s="24" t="b">
        <f>TRUE()</f>
        <v>1</v>
      </c>
      <c r="T149" s="25">
        <f t="shared" si="29"/>
        <v>6.4814814814814811E-2</v>
      </c>
      <c r="U149" s="24" t="b">
        <f>TRUE()</f>
        <v>1</v>
      </c>
      <c r="V149" s="26" t="str">
        <f t="shared" si="21"/>
        <v/>
      </c>
      <c r="W149" s="24" t="b">
        <f>FALSE()</f>
        <v>0</v>
      </c>
      <c r="X149" s="26" t="str">
        <f t="shared" si="30"/>
        <v/>
      </c>
      <c r="Y149" s="24" t="b">
        <f>FALSE()</f>
        <v>0</v>
      </c>
    </row>
    <row r="150" spans="1:26" ht="14" x14ac:dyDescent="0.25">
      <c r="A150" s="10">
        <v>146</v>
      </c>
      <c r="B150" s="27" t="s">
        <v>46</v>
      </c>
      <c r="C150" s="27" t="s">
        <v>183</v>
      </c>
      <c r="D150" s="84">
        <v>46184</v>
      </c>
      <c r="E150" s="84">
        <v>46222</v>
      </c>
      <c r="F150" s="13">
        <f t="shared" si="22"/>
        <v>39</v>
      </c>
      <c r="G150" s="13">
        <v>1350</v>
      </c>
      <c r="H150" s="41">
        <v>2700</v>
      </c>
      <c r="I150" s="52">
        <f t="shared" si="23"/>
        <v>5.128205128205128E-2</v>
      </c>
      <c r="J150" s="31">
        <f t="shared" si="24"/>
        <v>5.128205128205128E-2</v>
      </c>
      <c r="K150" s="18" t="b">
        <f>TRUE()</f>
        <v>1</v>
      </c>
      <c r="L150" s="19" t="str">
        <f t="shared" si="25"/>
        <v/>
      </c>
      <c r="M150" s="19" t="b">
        <f>FALSE()</f>
        <v>0</v>
      </c>
      <c r="N150" s="17" t="str">
        <f t="shared" si="26"/>
        <v/>
      </c>
      <c r="O150" s="18" t="b">
        <f>FALSE()</f>
        <v>0</v>
      </c>
      <c r="P150" s="29">
        <f t="shared" si="27"/>
        <v>5.128205128205128E-2</v>
      </c>
      <c r="Q150" s="19" t="b">
        <f>TRUE()</f>
        <v>1</v>
      </c>
      <c r="R150" s="31">
        <f t="shared" si="28"/>
        <v>5.128205128205128E-2</v>
      </c>
      <c r="S150" s="18" t="b">
        <f>TRUE()</f>
        <v>1</v>
      </c>
      <c r="T150" s="19" t="str">
        <f t="shared" si="29"/>
        <v/>
      </c>
      <c r="U150" s="18" t="b">
        <f>FALSE()</f>
        <v>0</v>
      </c>
      <c r="V150" s="19" t="str">
        <f t="shared" si="21"/>
        <v/>
      </c>
      <c r="W150" s="18" t="b">
        <f>FALSE()</f>
        <v>0</v>
      </c>
      <c r="X150" s="19" t="str">
        <f t="shared" si="30"/>
        <v/>
      </c>
      <c r="Y150" s="18" t="b">
        <f>FALSE()</f>
        <v>0</v>
      </c>
    </row>
    <row r="151" spans="1:26" ht="14" x14ac:dyDescent="0.3">
      <c r="A151" s="10">
        <v>149</v>
      </c>
      <c r="B151" s="27" t="s">
        <v>98</v>
      </c>
      <c r="C151" s="27" t="s">
        <v>79</v>
      </c>
      <c r="D151" s="84">
        <v>46174</v>
      </c>
      <c r="E151" s="84">
        <v>46203</v>
      </c>
      <c r="F151" s="13">
        <f t="shared" si="22"/>
        <v>30</v>
      </c>
      <c r="G151" s="13">
        <v>1200</v>
      </c>
      <c r="H151" s="41">
        <v>1500</v>
      </c>
      <c r="I151" s="52">
        <f t="shared" si="23"/>
        <v>4.1666666666666664E-2</v>
      </c>
      <c r="J151" s="30" t="str">
        <f t="shared" si="24"/>
        <v/>
      </c>
      <c r="K151" s="24" t="b">
        <f>FALSE()</f>
        <v>0</v>
      </c>
      <c r="L151" s="26" t="str">
        <f t="shared" si="25"/>
        <v/>
      </c>
      <c r="M151" s="26" t="b">
        <f>FALSE()</f>
        <v>0</v>
      </c>
      <c r="N151" s="23">
        <f t="shared" si="26"/>
        <v>4.1666666666666664E-2</v>
      </c>
      <c r="O151" s="24" t="b">
        <f>TRUE()</f>
        <v>1</v>
      </c>
      <c r="P151" s="25">
        <f t="shared" si="27"/>
        <v>4.1666666666666664E-2</v>
      </c>
      <c r="Q151" s="26" t="b">
        <f>TRUE()</f>
        <v>1</v>
      </c>
      <c r="R151" s="23">
        <f t="shared" si="28"/>
        <v>4.1666666666666664E-2</v>
      </c>
      <c r="S151" s="24" t="b">
        <f>TRUE()</f>
        <v>1</v>
      </c>
      <c r="T151" s="25">
        <f t="shared" si="29"/>
        <v>4.1666666666666664E-2</v>
      </c>
      <c r="U151" s="24" t="b">
        <f>TRUE()</f>
        <v>1</v>
      </c>
      <c r="V151" s="26" t="str">
        <f t="shared" si="21"/>
        <v/>
      </c>
      <c r="W151" s="24" t="b">
        <f>FALSE()</f>
        <v>0</v>
      </c>
      <c r="X151" s="26" t="str">
        <f t="shared" si="30"/>
        <v/>
      </c>
      <c r="Y151" s="24" t="b">
        <f>FALSE()</f>
        <v>0</v>
      </c>
      <c r="Z151" s="54" t="s">
        <v>184</v>
      </c>
    </row>
    <row r="152" spans="1:26" ht="14" x14ac:dyDescent="0.3">
      <c r="A152" s="10">
        <v>150</v>
      </c>
      <c r="B152" s="27" t="s">
        <v>185</v>
      </c>
      <c r="C152" s="27" t="s">
        <v>186</v>
      </c>
      <c r="D152" s="84">
        <v>46184</v>
      </c>
      <c r="E152" s="84">
        <v>46203</v>
      </c>
      <c r="F152" s="13">
        <f t="shared" si="22"/>
        <v>20</v>
      </c>
      <c r="G152" s="13">
        <v>900</v>
      </c>
      <c r="H152" s="41">
        <v>0</v>
      </c>
      <c r="I152" s="52">
        <f t="shared" si="23"/>
        <v>0</v>
      </c>
      <c r="J152" s="17" t="str">
        <f t="shared" si="24"/>
        <v/>
      </c>
      <c r="K152" s="18" t="b">
        <f>FALSE()</f>
        <v>0</v>
      </c>
      <c r="L152" s="19" t="str">
        <f t="shared" si="25"/>
        <v/>
      </c>
      <c r="M152" s="19" t="b">
        <f>FALSE()</f>
        <v>0</v>
      </c>
      <c r="N152" s="17" t="str">
        <f t="shared" si="26"/>
        <v/>
      </c>
      <c r="O152" s="18" t="b">
        <f>FALSE()</f>
        <v>0</v>
      </c>
      <c r="P152" s="19" t="str">
        <f t="shared" si="27"/>
        <v/>
      </c>
      <c r="Q152" s="19" t="b">
        <f>FALSE()</f>
        <v>0</v>
      </c>
      <c r="R152" s="17" t="str">
        <f t="shared" si="28"/>
        <v/>
      </c>
      <c r="S152" s="18" t="b">
        <f>FALSE()</f>
        <v>0</v>
      </c>
      <c r="T152" s="19" t="str">
        <f t="shared" si="29"/>
        <v/>
      </c>
      <c r="U152" s="18" t="b">
        <f>FALSE()</f>
        <v>0</v>
      </c>
      <c r="V152" s="19" t="str">
        <f t="shared" si="21"/>
        <v/>
      </c>
      <c r="W152" s="18" t="b">
        <f>FALSE()</f>
        <v>0</v>
      </c>
      <c r="X152" s="29">
        <f t="shared" si="30"/>
        <v>0</v>
      </c>
      <c r="Y152" s="18" t="b">
        <f>TRUE()</f>
        <v>1</v>
      </c>
      <c r="Z152" s="54" t="s">
        <v>187</v>
      </c>
    </row>
    <row r="153" spans="1:26" ht="14" x14ac:dyDescent="0.3">
      <c r="A153" s="10">
        <v>151</v>
      </c>
      <c r="B153" s="27" t="s">
        <v>188</v>
      </c>
      <c r="C153" s="27" t="s">
        <v>189</v>
      </c>
      <c r="D153" s="84">
        <v>46185</v>
      </c>
      <c r="E153" s="84">
        <v>46193</v>
      </c>
      <c r="F153" s="13">
        <f t="shared" si="22"/>
        <v>9</v>
      </c>
      <c r="G153" s="13">
        <v>450</v>
      </c>
      <c r="H153" s="41">
        <v>0</v>
      </c>
      <c r="I153" s="52">
        <f t="shared" si="23"/>
        <v>0</v>
      </c>
      <c r="J153" s="30" t="str">
        <f t="shared" si="24"/>
        <v/>
      </c>
      <c r="K153" s="24" t="b">
        <f>FALSE()</f>
        <v>0</v>
      </c>
      <c r="L153" s="26" t="str">
        <f t="shared" si="25"/>
        <v/>
      </c>
      <c r="M153" s="26" t="b">
        <f>FALSE()</f>
        <v>0</v>
      </c>
      <c r="N153" s="30" t="str">
        <f t="shared" si="26"/>
        <v/>
      </c>
      <c r="O153" s="24" t="b">
        <f>FALSE()</f>
        <v>0</v>
      </c>
      <c r="P153" s="26" t="str">
        <f t="shared" si="27"/>
        <v/>
      </c>
      <c r="Q153" s="26" t="b">
        <f>FALSE()</f>
        <v>0</v>
      </c>
      <c r="R153" s="30" t="str">
        <f t="shared" si="28"/>
        <v/>
      </c>
      <c r="S153" s="24" t="b">
        <f>FALSE()</f>
        <v>0</v>
      </c>
      <c r="T153" s="26" t="str">
        <f t="shared" si="29"/>
        <v/>
      </c>
      <c r="U153" s="24" t="b">
        <f>FALSE()</f>
        <v>0</v>
      </c>
      <c r="V153" s="25">
        <f t="shared" ref="V153:V184" si="31">IF(W153=TRUE(),$I153,"")</f>
        <v>0</v>
      </c>
      <c r="W153" s="24" t="b">
        <f>TRUE()</f>
        <v>1</v>
      </c>
      <c r="X153" s="26" t="str">
        <f t="shared" si="30"/>
        <v/>
      </c>
      <c r="Y153" s="24" t="b">
        <f>FALSE()</f>
        <v>0</v>
      </c>
      <c r="Z153" s="54" t="s">
        <v>187</v>
      </c>
    </row>
    <row r="154" spans="1:26" ht="14" x14ac:dyDescent="0.3">
      <c r="A154" s="10">
        <v>152</v>
      </c>
      <c r="B154" s="27" t="s">
        <v>65</v>
      </c>
      <c r="C154" s="27" t="s">
        <v>166</v>
      </c>
      <c r="D154" s="84">
        <v>46188</v>
      </c>
      <c r="E154" s="84">
        <v>46217</v>
      </c>
      <c r="F154" s="13">
        <f t="shared" si="22"/>
        <v>30</v>
      </c>
      <c r="G154" s="13">
        <v>900</v>
      </c>
      <c r="H154" s="41">
        <v>1260</v>
      </c>
      <c r="I154" s="52">
        <f t="shared" si="23"/>
        <v>4.6666666666666669E-2</v>
      </c>
      <c r="J154" s="17" t="str">
        <f t="shared" si="24"/>
        <v/>
      </c>
      <c r="K154" s="18" t="b">
        <f>FALSE()</f>
        <v>0</v>
      </c>
      <c r="L154" s="19" t="str">
        <f t="shared" si="25"/>
        <v/>
      </c>
      <c r="M154" s="19" t="b">
        <f>FALSE()</f>
        <v>0</v>
      </c>
      <c r="N154" s="17" t="str">
        <f t="shared" si="26"/>
        <v/>
      </c>
      <c r="O154" s="18" t="b">
        <f>FALSE()</f>
        <v>0</v>
      </c>
      <c r="P154" s="29">
        <f t="shared" si="27"/>
        <v>4.6666666666666669E-2</v>
      </c>
      <c r="Q154" s="19" t="b">
        <f>TRUE()</f>
        <v>1</v>
      </c>
      <c r="R154" s="31">
        <f t="shared" si="28"/>
        <v>4.6666666666666669E-2</v>
      </c>
      <c r="S154" s="18" t="b">
        <f>TRUE()</f>
        <v>1</v>
      </c>
      <c r="T154" s="19" t="str">
        <f t="shared" si="29"/>
        <v/>
      </c>
      <c r="U154" s="18" t="b">
        <f>FALSE()</f>
        <v>0</v>
      </c>
      <c r="V154" s="19" t="str">
        <f t="shared" si="31"/>
        <v/>
      </c>
      <c r="W154" s="18" t="b">
        <f>FALSE()</f>
        <v>0</v>
      </c>
      <c r="X154" s="29">
        <f t="shared" si="30"/>
        <v>4.6666666666666669E-2</v>
      </c>
      <c r="Y154" s="18" t="b">
        <f>TRUE()</f>
        <v>1</v>
      </c>
      <c r="Z154" s="54" t="s">
        <v>190</v>
      </c>
    </row>
    <row r="155" spans="1:26" ht="14" x14ac:dyDescent="0.3">
      <c r="A155" s="10">
        <v>153</v>
      </c>
      <c r="B155" s="27" t="s">
        <v>191</v>
      </c>
      <c r="C155" s="27" t="s">
        <v>192</v>
      </c>
      <c r="D155" s="84">
        <v>46185</v>
      </c>
      <c r="E155" s="84">
        <v>46246</v>
      </c>
      <c r="F155" s="13">
        <f t="shared" si="22"/>
        <v>62</v>
      </c>
      <c r="G155" s="13">
        <v>2400</v>
      </c>
      <c r="H155" s="41">
        <v>0</v>
      </c>
      <c r="I155" s="52">
        <f t="shared" si="23"/>
        <v>0</v>
      </c>
      <c r="J155" s="23">
        <f t="shared" si="24"/>
        <v>0</v>
      </c>
      <c r="K155" s="24" t="b">
        <f>TRUE()</f>
        <v>1</v>
      </c>
      <c r="L155" s="25">
        <f t="shared" si="25"/>
        <v>0</v>
      </c>
      <c r="M155" s="26" t="b">
        <f>TRUE()</f>
        <v>1</v>
      </c>
      <c r="N155" s="23">
        <f t="shared" si="26"/>
        <v>0</v>
      </c>
      <c r="O155" s="24" t="b">
        <f>TRUE()</f>
        <v>1</v>
      </c>
      <c r="P155" s="25">
        <f t="shared" si="27"/>
        <v>0</v>
      </c>
      <c r="Q155" s="26" t="b">
        <f>TRUE()</f>
        <v>1</v>
      </c>
      <c r="R155" s="23">
        <f t="shared" si="28"/>
        <v>0</v>
      </c>
      <c r="S155" s="24" t="b">
        <f>TRUE()</f>
        <v>1</v>
      </c>
      <c r="T155" s="25">
        <f t="shared" si="29"/>
        <v>0</v>
      </c>
      <c r="U155" s="24" t="b">
        <f>TRUE()</f>
        <v>1</v>
      </c>
      <c r="V155" s="25">
        <f t="shared" si="31"/>
        <v>0</v>
      </c>
      <c r="W155" s="24" t="b">
        <f>TRUE()</f>
        <v>1</v>
      </c>
      <c r="X155" s="25">
        <f t="shared" si="30"/>
        <v>0</v>
      </c>
      <c r="Y155" s="24" t="b">
        <f>TRUE()</f>
        <v>1</v>
      </c>
      <c r="Z155" s="54" t="s">
        <v>193</v>
      </c>
    </row>
    <row r="156" spans="1:26" ht="14" x14ac:dyDescent="0.25">
      <c r="A156" s="10">
        <v>154</v>
      </c>
      <c r="B156" s="27" t="s">
        <v>194</v>
      </c>
      <c r="C156" s="27" t="s">
        <v>195</v>
      </c>
      <c r="D156" s="84">
        <v>46185</v>
      </c>
      <c r="E156" s="84">
        <v>46214</v>
      </c>
      <c r="F156" s="13">
        <f t="shared" si="22"/>
        <v>30</v>
      </c>
      <c r="G156" s="13">
        <v>900</v>
      </c>
      <c r="H156" s="41">
        <v>1890</v>
      </c>
      <c r="I156" s="52">
        <f t="shared" si="23"/>
        <v>7.0000000000000007E-2</v>
      </c>
      <c r="J156" s="17" t="str">
        <f t="shared" si="24"/>
        <v/>
      </c>
      <c r="K156" s="18" t="b">
        <f>FALSE()</f>
        <v>0</v>
      </c>
      <c r="L156" s="19" t="str">
        <f t="shared" si="25"/>
        <v/>
      </c>
      <c r="M156" s="19" t="b">
        <f>FALSE()</f>
        <v>0</v>
      </c>
      <c r="N156" s="31">
        <f t="shared" si="26"/>
        <v>7.0000000000000007E-2</v>
      </c>
      <c r="O156" s="18" t="b">
        <f>TRUE()</f>
        <v>1</v>
      </c>
      <c r="P156" s="29">
        <f t="shared" si="27"/>
        <v>7.0000000000000007E-2</v>
      </c>
      <c r="Q156" s="19" t="b">
        <f>TRUE()</f>
        <v>1</v>
      </c>
      <c r="R156" s="17" t="str">
        <f t="shared" si="28"/>
        <v/>
      </c>
      <c r="S156" s="18" t="b">
        <f>FALSE()</f>
        <v>0</v>
      </c>
      <c r="T156" s="19" t="str">
        <f t="shared" si="29"/>
        <v/>
      </c>
      <c r="U156" s="18" t="b">
        <f>FALSE()</f>
        <v>0</v>
      </c>
      <c r="V156" s="19" t="str">
        <f t="shared" si="31"/>
        <v/>
      </c>
      <c r="W156" s="18" t="b">
        <f>FALSE()</f>
        <v>0</v>
      </c>
      <c r="X156" s="19" t="str">
        <f t="shared" si="30"/>
        <v/>
      </c>
      <c r="Y156" s="18" t="b">
        <f>FALSE()</f>
        <v>0</v>
      </c>
    </row>
    <row r="157" spans="1:26" ht="14" x14ac:dyDescent="0.25">
      <c r="A157" s="10">
        <v>155</v>
      </c>
      <c r="B157" s="11" t="s">
        <v>196</v>
      </c>
      <c r="C157" s="11" t="s">
        <v>197</v>
      </c>
      <c r="D157" s="82">
        <v>46188</v>
      </c>
      <c r="E157" s="82">
        <v>46217</v>
      </c>
      <c r="F157" s="38">
        <f t="shared" si="22"/>
        <v>30</v>
      </c>
      <c r="G157" s="38">
        <v>1500</v>
      </c>
      <c r="H157" s="56">
        <v>1080</v>
      </c>
      <c r="I157" s="57">
        <f t="shared" si="23"/>
        <v>2.4E-2</v>
      </c>
      <c r="J157" s="58" t="str">
        <f t="shared" si="24"/>
        <v/>
      </c>
      <c r="K157" s="59" t="b">
        <f>FALSE()</f>
        <v>0</v>
      </c>
      <c r="L157" s="60">
        <f t="shared" si="25"/>
        <v>2.4E-2</v>
      </c>
      <c r="M157" s="61" t="b">
        <f>TRUE()</f>
        <v>1</v>
      </c>
      <c r="N157" s="62">
        <f t="shared" si="26"/>
        <v>2.4E-2</v>
      </c>
      <c r="O157" s="59" t="b">
        <f>TRUE()</f>
        <v>1</v>
      </c>
      <c r="P157" s="61" t="str">
        <f t="shared" si="27"/>
        <v/>
      </c>
      <c r="Q157" s="61" t="b">
        <f>FALSE()</f>
        <v>0</v>
      </c>
      <c r="R157" s="62">
        <f t="shared" si="28"/>
        <v>2.4E-2</v>
      </c>
      <c r="S157" s="59" t="b">
        <f>TRUE()</f>
        <v>1</v>
      </c>
      <c r="T157" s="60">
        <f t="shared" si="29"/>
        <v>2.4E-2</v>
      </c>
      <c r="U157" s="59" t="b">
        <f>TRUE()</f>
        <v>1</v>
      </c>
      <c r="V157" s="60">
        <f t="shared" si="31"/>
        <v>2.4E-2</v>
      </c>
      <c r="W157" s="59" t="b">
        <f>TRUE()</f>
        <v>1</v>
      </c>
      <c r="X157" s="61" t="str">
        <f t="shared" si="30"/>
        <v/>
      </c>
      <c r="Y157" s="24" t="b">
        <f>FALSE()</f>
        <v>0</v>
      </c>
    </row>
    <row r="158" spans="1:26" ht="14" x14ac:dyDescent="0.3">
      <c r="A158" s="10">
        <v>156</v>
      </c>
      <c r="B158" s="63" t="s">
        <v>21</v>
      </c>
      <c r="C158" s="63" t="s">
        <v>57</v>
      </c>
      <c r="D158" s="90">
        <v>46181</v>
      </c>
      <c r="E158" s="90">
        <v>46213</v>
      </c>
      <c r="F158" s="63">
        <f t="shared" si="22"/>
        <v>33</v>
      </c>
      <c r="G158" s="63">
        <v>900</v>
      </c>
      <c r="H158" s="65">
        <v>1800</v>
      </c>
      <c r="I158" s="66">
        <f t="shared" si="23"/>
        <v>6.0606060606060608E-2</v>
      </c>
      <c r="J158" s="63" t="str">
        <f t="shared" si="24"/>
        <v/>
      </c>
      <c r="K158" s="63" t="b">
        <f>FALSE()</f>
        <v>0</v>
      </c>
      <c r="L158" s="66">
        <f t="shared" si="25"/>
        <v>6.0606060606060608E-2</v>
      </c>
      <c r="M158" s="63" t="b">
        <f>TRUE()</f>
        <v>1</v>
      </c>
      <c r="N158" s="66">
        <f t="shared" si="26"/>
        <v>6.0606060606060608E-2</v>
      </c>
      <c r="O158" s="63" t="b">
        <f>TRUE()</f>
        <v>1</v>
      </c>
      <c r="P158" s="66">
        <f t="shared" si="27"/>
        <v>6.0606060606060608E-2</v>
      </c>
      <c r="Q158" s="63" t="b">
        <f>TRUE()</f>
        <v>1</v>
      </c>
      <c r="R158" s="63" t="str">
        <f t="shared" si="28"/>
        <v/>
      </c>
      <c r="S158" s="63" t="b">
        <f>FALSE()</f>
        <v>0</v>
      </c>
      <c r="T158" s="63">
        <v>0</v>
      </c>
      <c r="U158" s="63" t="b">
        <f>FALSE()</f>
        <v>0</v>
      </c>
      <c r="V158" s="63" t="str">
        <f t="shared" si="31"/>
        <v/>
      </c>
      <c r="W158" s="63" t="b">
        <f>FALSE()</f>
        <v>0</v>
      </c>
      <c r="X158" s="63" t="str">
        <f t="shared" si="30"/>
        <v/>
      </c>
      <c r="Y158" s="18" t="b">
        <f>FALSE()</f>
        <v>0</v>
      </c>
      <c r="Z158" s="54" t="s">
        <v>198</v>
      </c>
    </row>
    <row r="159" spans="1:26" ht="14" x14ac:dyDescent="0.25">
      <c r="A159" s="10">
        <v>157</v>
      </c>
      <c r="B159" s="63" t="s">
        <v>199</v>
      </c>
      <c r="C159" s="63" t="s">
        <v>57</v>
      </c>
      <c r="D159" s="90">
        <v>46174</v>
      </c>
      <c r="E159" s="90">
        <v>46203</v>
      </c>
      <c r="F159" s="63">
        <f t="shared" si="22"/>
        <v>30</v>
      </c>
      <c r="G159" s="63">
        <v>900</v>
      </c>
      <c r="H159" s="65">
        <v>1760</v>
      </c>
      <c r="I159" s="66">
        <f t="shared" si="23"/>
        <v>6.5185185185185179E-2</v>
      </c>
      <c r="J159" s="63" t="str">
        <f t="shared" si="24"/>
        <v/>
      </c>
      <c r="K159" s="63" t="b">
        <f>FALSE()</f>
        <v>0</v>
      </c>
      <c r="L159" s="66">
        <f t="shared" si="25"/>
        <v>6.5185185185185179E-2</v>
      </c>
      <c r="M159" s="63" t="b">
        <f>TRUE()</f>
        <v>1</v>
      </c>
      <c r="N159" s="63" t="str">
        <f t="shared" si="26"/>
        <v/>
      </c>
      <c r="O159" s="63" t="b">
        <f>FALSE()</f>
        <v>0</v>
      </c>
      <c r="P159" s="63" t="str">
        <f t="shared" si="27"/>
        <v/>
      </c>
      <c r="Q159" s="63" t="b">
        <f>FALSE()</f>
        <v>0</v>
      </c>
      <c r="R159" s="63" t="str">
        <f t="shared" si="28"/>
        <v/>
      </c>
      <c r="S159" s="63" t="b">
        <f>FALSE()</f>
        <v>0</v>
      </c>
      <c r="T159" s="63"/>
      <c r="U159" s="63" t="b">
        <f>FALSE()</f>
        <v>0</v>
      </c>
      <c r="V159" s="66">
        <f t="shared" si="31"/>
        <v>6.5185185185185179E-2</v>
      </c>
      <c r="W159" s="63" t="b">
        <f>TRUE()</f>
        <v>1</v>
      </c>
      <c r="X159" s="63" t="str">
        <f t="shared" si="30"/>
        <v/>
      </c>
      <c r="Y159" s="18" t="b">
        <f>FALSE()</f>
        <v>0</v>
      </c>
    </row>
    <row r="160" spans="1:26" ht="14" x14ac:dyDescent="0.3">
      <c r="A160" s="10">
        <v>158</v>
      </c>
      <c r="B160" s="63" t="s">
        <v>200</v>
      </c>
      <c r="C160" s="63" t="s">
        <v>201</v>
      </c>
      <c r="D160" s="90">
        <v>46189</v>
      </c>
      <c r="E160" s="90">
        <v>46211</v>
      </c>
      <c r="F160" s="63">
        <f t="shared" si="22"/>
        <v>23</v>
      </c>
      <c r="G160" s="63">
        <v>0</v>
      </c>
      <c r="H160" s="65">
        <v>0</v>
      </c>
      <c r="I160" s="66">
        <v>0</v>
      </c>
      <c r="J160" s="63" t="str">
        <f t="shared" si="24"/>
        <v/>
      </c>
      <c r="K160" s="63" t="b">
        <f>FALSE()</f>
        <v>0</v>
      </c>
      <c r="L160" s="63" t="str">
        <f t="shared" si="25"/>
        <v/>
      </c>
      <c r="M160" s="63" t="b">
        <f>FALSE()</f>
        <v>0</v>
      </c>
      <c r="N160" s="63" t="str">
        <f t="shared" si="26"/>
        <v/>
      </c>
      <c r="O160" s="63" t="b">
        <f>FALSE()</f>
        <v>0</v>
      </c>
      <c r="P160" s="63" t="str">
        <f t="shared" si="27"/>
        <v/>
      </c>
      <c r="Q160" s="63" t="b">
        <f>FALSE()</f>
        <v>0</v>
      </c>
      <c r="R160" s="63" t="str">
        <f t="shared" si="28"/>
        <v/>
      </c>
      <c r="S160" s="63" t="b">
        <f>FALSE()</f>
        <v>0</v>
      </c>
      <c r="T160" s="63"/>
      <c r="U160" s="63" t="b">
        <f>FALSE()</f>
        <v>0</v>
      </c>
      <c r="V160" s="63" t="str">
        <f t="shared" si="31"/>
        <v/>
      </c>
      <c r="W160" s="63" t="b">
        <f>FALSE()</f>
        <v>0</v>
      </c>
      <c r="X160" s="66">
        <f t="shared" si="30"/>
        <v>0</v>
      </c>
      <c r="Y160" s="18" t="b">
        <f>TRUE()</f>
        <v>1</v>
      </c>
      <c r="Z160" s="54" t="s">
        <v>187</v>
      </c>
    </row>
    <row r="161" spans="1:26" ht="14" x14ac:dyDescent="0.25">
      <c r="A161" s="10">
        <v>159</v>
      </c>
      <c r="B161" s="63" t="s">
        <v>202</v>
      </c>
      <c r="C161" s="63" t="s">
        <v>203</v>
      </c>
      <c r="D161" s="90">
        <v>46192</v>
      </c>
      <c r="E161" s="90">
        <v>46203</v>
      </c>
      <c r="F161" s="63">
        <f t="shared" si="22"/>
        <v>12</v>
      </c>
      <c r="G161" s="63">
        <v>900</v>
      </c>
      <c r="H161" s="65">
        <v>900</v>
      </c>
      <c r="I161" s="66">
        <f t="shared" ref="I161:I192" si="32">IFERROR(H161/(F161*G161),"")</f>
        <v>8.3333333333333329E-2</v>
      </c>
      <c r="J161" s="63" t="str">
        <f t="shared" si="24"/>
        <v/>
      </c>
      <c r="K161" s="63" t="b">
        <f>FALSE()</f>
        <v>0</v>
      </c>
      <c r="L161" s="66">
        <f t="shared" si="25"/>
        <v>8.3333333333333329E-2</v>
      </c>
      <c r="M161" s="63" t="b">
        <f>TRUE()</f>
        <v>1</v>
      </c>
      <c r="N161" s="63" t="str">
        <f t="shared" si="26"/>
        <v/>
      </c>
      <c r="O161" s="63" t="b">
        <f>FALSE()</f>
        <v>0</v>
      </c>
      <c r="P161" s="63" t="str">
        <f t="shared" si="27"/>
        <v/>
      </c>
      <c r="Q161" s="63" t="b">
        <f>FALSE()</f>
        <v>0</v>
      </c>
      <c r="R161" s="66">
        <f t="shared" si="28"/>
        <v>8.3333333333333329E-2</v>
      </c>
      <c r="S161" s="63" t="b">
        <f>TRUE()</f>
        <v>1</v>
      </c>
      <c r="T161" s="63"/>
      <c r="U161" s="63" t="b">
        <f>TRUE()</f>
        <v>1</v>
      </c>
      <c r="V161" s="63" t="str">
        <f t="shared" si="31"/>
        <v/>
      </c>
      <c r="W161" s="63" t="b">
        <f>FALSE()</f>
        <v>0</v>
      </c>
      <c r="X161" s="63" t="str">
        <f t="shared" si="30"/>
        <v/>
      </c>
      <c r="Y161" s="18" t="b">
        <f>FALSE()</f>
        <v>0</v>
      </c>
    </row>
    <row r="162" spans="1:26" ht="14" x14ac:dyDescent="0.25">
      <c r="A162" s="10">
        <v>160</v>
      </c>
      <c r="B162" s="63" t="s">
        <v>37</v>
      </c>
      <c r="C162" s="63" t="s">
        <v>204</v>
      </c>
      <c r="D162" s="90">
        <v>46184</v>
      </c>
      <c r="E162" s="90">
        <v>46199</v>
      </c>
      <c r="F162" s="63">
        <f t="shared" si="22"/>
        <v>16</v>
      </c>
      <c r="G162" s="63">
        <v>450</v>
      </c>
      <c r="H162" s="65">
        <v>337.5</v>
      </c>
      <c r="I162" s="66">
        <f t="shared" si="32"/>
        <v>4.6875E-2</v>
      </c>
      <c r="J162" s="63" t="str">
        <f t="shared" si="24"/>
        <v/>
      </c>
      <c r="K162" s="63" t="b">
        <f>FALSE()</f>
        <v>0</v>
      </c>
      <c r="L162" s="63" t="str">
        <f t="shared" si="25"/>
        <v/>
      </c>
      <c r="M162" s="63" t="b">
        <f>FALSE()</f>
        <v>0</v>
      </c>
      <c r="N162" s="63" t="str">
        <f t="shared" si="26"/>
        <v/>
      </c>
      <c r="O162" s="63" t="b">
        <f>FALSE()</f>
        <v>0</v>
      </c>
      <c r="P162" s="63" t="str">
        <f t="shared" si="27"/>
        <v/>
      </c>
      <c r="Q162" s="63" t="b">
        <f>FALSE()</f>
        <v>0</v>
      </c>
      <c r="R162" s="63" t="str">
        <f t="shared" si="28"/>
        <v/>
      </c>
      <c r="S162" s="63" t="b">
        <f>FALSE()</f>
        <v>0</v>
      </c>
      <c r="T162" s="63"/>
      <c r="U162" s="63" t="b">
        <f>FALSE()</f>
        <v>0</v>
      </c>
      <c r="V162" s="63" t="str">
        <f t="shared" si="31"/>
        <v/>
      </c>
      <c r="W162" s="63" t="b">
        <f>FALSE()</f>
        <v>0</v>
      </c>
      <c r="X162" s="66">
        <f t="shared" si="30"/>
        <v>4.6875E-2</v>
      </c>
      <c r="Y162" s="18" t="b">
        <f>TRUE()</f>
        <v>1</v>
      </c>
    </row>
    <row r="163" spans="1:26" ht="14" x14ac:dyDescent="0.25">
      <c r="A163" s="10">
        <v>161</v>
      </c>
      <c r="B163" s="63" t="s">
        <v>141</v>
      </c>
      <c r="C163" s="63" t="s">
        <v>205</v>
      </c>
      <c r="D163" s="90">
        <v>46196</v>
      </c>
      <c r="E163" s="90">
        <v>46225</v>
      </c>
      <c r="F163" s="63">
        <f t="shared" si="22"/>
        <v>30</v>
      </c>
      <c r="G163" s="63">
        <v>300</v>
      </c>
      <c r="H163" s="65">
        <v>550</v>
      </c>
      <c r="I163" s="66">
        <f t="shared" si="32"/>
        <v>6.1111111111111109E-2</v>
      </c>
      <c r="J163" s="66">
        <f t="shared" si="24"/>
        <v>6.1111111111111109E-2</v>
      </c>
      <c r="K163" s="63" t="b">
        <f>TRUE()</f>
        <v>1</v>
      </c>
      <c r="L163" s="63" t="str">
        <f t="shared" si="25"/>
        <v/>
      </c>
      <c r="M163" s="63" t="b">
        <f>FALSE()</f>
        <v>0</v>
      </c>
      <c r="N163" s="63" t="str">
        <f t="shared" si="26"/>
        <v/>
      </c>
      <c r="O163" s="63" t="b">
        <f>FALSE()</f>
        <v>0</v>
      </c>
      <c r="P163" s="63" t="str">
        <f t="shared" si="27"/>
        <v/>
      </c>
      <c r="Q163" s="63" t="b">
        <f>FALSE()</f>
        <v>0</v>
      </c>
      <c r="R163" s="63" t="str">
        <f t="shared" si="28"/>
        <v/>
      </c>
      <c r="S163" s="63" t="b">
        <f>FALSE()</f>
        <v>0</v>
      </c>
      <c r="T163" s="63"/>
      <c r="U163" s="63" t="b">
        <f>FALSE()</f>
        <v>0</v>
      </c>
      <c r="V163" s="63" t="str">
        <f t="shared" si="31"/>
        <v/>
      </c>
      <c r="W163" s="63" t="b">
        <f>FALSE()</f>
        <v>0</v>
      </c>
      <c r="X163" s="63" t="str">
        <f t="shared" si="30"/>
        <v/>
      </c>
      <c r="Y163" s="18" t="b">
        <f>FALSE()</f>
        <v>0</v>
      </c>
    </row>
    <row r="164" spans="1:26" ht="14" x14ac:dyDescent="0.25">
      <c r="A164" s="10">
        <v>162</v>
      </c>
      <c r="B164" s="63" t="s">
        <v>206</v>
      </c>
      <c r="C164" s="63"/>
      <c r="D164" s="90">
        <v>46199</v>
      </c>
      <c r="E164" s="90">
        <v>46223</v>
      </c>
      <c r="F164" s="63">
        <f t="shared" si="22"/>
        <v>25</v>
      </c>
      <c r="G164" s="63">
        <v>1800</v>
      </c>
      <c r="H164" s="65">
        <v>2083.33</v>
      </c>
      <c r="I164" s="66">
        <f t="shared" si="32"/>
        <v>4.6296222222222218E-2</v>
      </c>
      <c r="J164" s="66">
        <f t="shared" si="24"/>
        <v>4.6296222222222218E-2</v>
      </c>
      <c r="K164" s="63" t="b">
        <f>TRUE()</f>
        <v>1</v>
      </c>
      <c r="L164" s="66">
        <f t="shared" si="25"/>
        <v>4.6296222222222218E-2</v>
      </c>
      <c r="M164" s="63" t="b">
        <f>TRUE()</f>
        <v>1</v>
      </c>
      <c r="N164" s="66">
        <f t="shared" si="26"/>
        <v>4.6296222222222218E-2</v>
      </c>
      <c r="O164" s="63" t="b">
        <f>TRUE()</f>
        <v>1</v>
      </c>
      <c r="P164" s="63" t="str">
        <f t="shared" si="27"/>
        <v/>
      </c>
      <c r="Q164" s="63" t="b">
        <f>FALSE()</f>
        <v>0</v>
      </c>
      <c r="R164" s="66">
        <f t="shared" si="28"/>
        <v>4.6296222222222218E-2</v>
      </c>
      <c r="S164" s="63" t="b">
        <f>TRUE()</f>
        <v>1</v>
      </c>
      <c r="T164" s="63"/>
      <c r="U164" s="63" t="b">
        <f>FALSE()</f>
        <v>0</v>
      </c>
      <c r="V164" s="63" t="str">
        <f t="shared" si="31"/>
        <v/>
      </c>
      <c r="W164" s="63" t="b">
        <f>FALSE()</f>
        <v>0</v>
      </c>
      <c r="X164" s="63" t="str">
        <f t="shared" si="30"/>
        <v/>
      </c>
      <c r="Y164" s="18" t="b">
        <f>FALSE()</f>
        <v>0</v>
      </c>
    </row>
    <row r="165" spans="1:26" ht="14" x14ac:dyDescent="0.25">
      <c r="A165" s="10">
        <v>163</v>
      </c>
      <c r="B165" s="63" t="s">
        <v>207</v>
      </c>
      <c r="C165" s="63" t="s">
        <v>208</v>
      </c>
      <c r="D165" s="90">
        <v>46204</v>
      </c>
      <c r="E165" s="90">
        <v>46234</v>
      </c>
      <c r="F165" s="63">
        <f t="shared" si="22"/>
        <v>31</v>
      </c>
      <c r="G165" s="63">
        <v>450</v>
      </c>
      <c r="H165" s="65">
        <v>810</v>
      </c>
      <c r="I165" s="66">
        <f t="shared" si="32"/>
        <v>5.8064516129032261E-2</v>
      </c>
      <c r="J165" s="66">
        <f t="shared" si="24"/>
        <v>5.8064516129032261E-2</v>
      </c>
      <c r="K165" s="63" t="b">
        <f>TRUE()</f>
        <v>1</v>
      </c>
      <c r="L165" s="63" t="str">
        <f t="shared" si="25"/>
        <v/>
      </c>
      <c r="M165" s="63" t="b">
        <f>FALSE()</f>
        <v>0</v>
      </c>
      <c r="N165" s="63" t="str">
        <f t="shared" si="26"/>
        <v/>
      </c>
      <c r="O165" s="63" t="b">
        <f>FALSE()</f>
        <v>0</v>
      </c>
      <c r="P165" s="63" t="str">
        <f t="shared" si="27"/>
        <v/>
      </c>
      <c r="Q165" s="63" t="b">
        <f>FALSE()</f>
        <v>0</v>
      </c>
      <c r="R165" s="63" t="str">
        <f t="shared" si="28"/>
        <v/>
      </c>
      <c r="S165" s="63" t="b">
        <f>FALSE()</f>
        <v>0</v>
      </c>
      <c r="T165" s="63"/>
      <c r="U165" s="63" t="b">
        <f>FALSE()</f>
        <v>0</v>
      </c>
      <c r="V165" s="63" t="str">
        <f t="shared" si="31"/>
        <v/>
      </c>
      <c r="W165" s="63" t="b">
        <f>FALSE()</f>
        <v>0</v>
      </c>
      <c r="X165" s="63" t="str">
        <f t="shared" si="30"/>
        <v/>
      </c>
      <c r="Y165" s="18" t="b">
        <f>FALSE()</f>
        <v>0</v>
      </c>
    </row>
    <row r="166" spans="1:26" ht="14" x14ac:dyDescent="0.25">
      <c r="A166" s="10">
        <v>164</v>
      </c>
      <c r="B166" s="63" t="s">
        <v>207</v>
      </c>
      <c r="C166" s="63" t="s">
        <v>208</v>
      </c>
      <c r="D166" s="90">
        <v>46235</v>
      </c>
      <c r="E166" s="90">
        <v>46326</v>
      </c>
      <c r="F166" s="63">
        <f t="shared" si="22"/>
        <v>92</v>
      </c>
      <c r="G166" s="63">
        <v>450</v>
      </c>
      <c r="H166" s="65">
        <v>2430</v>
      </c>
      <c r="I166" s="66">
        <f t="shared" si="32"/>
        <v>5.8695652173913045E-2</v>
      </c>
      <c r="J166" s="63" t="str">
        <f t="shared" si="24"/>
        <v/>
      </c>
      <c r="K166" s="63" t="b">
        <f>FALSE()</f>
        <v>0</v>
      </c>
      <c r="L166" s="63" t="str">
        <f t="shared" si="25"/>
        <v/>
      </c>
      <c r="M166" s="63" t="b">
        <f>FALSE()</f>
        <v>0</v>
      </c>
      <c r="N166" s="63" t="str">
        <f t="shared" si="26"/>
        <v/>
      </c>
      <c r="O166" s="63" t="b">
        <f>FALSE()</f>
        <v>0</v>
      </c>
      <c r="P166" s="63" t="str">
        <f t="shared" si="27"/>
        <v/>
      </c>
      <c r="Q166" s="63" t="b">
        <f>FALSE()</f>
        <v>0</v>
      </c>
      <c r="R166" s="66">
        <f t="shared" si="28"/>
        <v>5.8695652173913045E-2</v>
      </c>
      <c r="S166" s="63" t="b">
        <f>TRUE()</f>
        <v>1</v>
      </c>
      <c r="T166" s="63"/>
      <c r="U166" s="63" t="b">
        <f>FALSE()</f>
        <v>0</v>
      </c>
      <c r="V166" s="63" t="str">
        <f t="shared" si="31"/>
        <v/>
      </c>
      <c r="W166" s="63" t="b">
        <f>FALSE()</f>
        <v>0</v>
      </c>
      <c r="X166" s="63" t="str">
        <f t="shared" si="30"/>
        <v/>
      </c>
      <c r="Y166" s="18" t="b">
        <f>FALSE()</f>
        <v>0</v>
      </c>
    </row>
    <row r="167" spans="1:26" ht="14" x14ac:dyDescent="0.25">
      <c r="A167" s="10">
        <v>165</v>
      </c>
      <c r="B167" s="63" t="s">
        <v>207</v>
      </c>
      <c r="C167" s="63" t="s">
        <v>208</v>
      </c>
      <c r="D167" s="90">
        <v>46195</v>
      </c>
      <c r="E167" s="90">
        <v>46234</v>
      </c>
      <c r="F167" s="63">
        <f t="shared" si="22"/>
        <v>40</v>
      </c>
      <c r="G167" s="63">
        <v>450</v>
      </c>
      <c r="H167" s="65">
        <v>1080</v>
      </c>
      <c r="I167" s="66">
        <f t="shared" si="32"/>
        <v>0.06</v>
      </c>
      <c r="J167" s="63" t="str">
        <f t="shared" si="24"/>
        <v/>
      </c>
      <c r="K167" s="63" t="b">
        <f>FALSE()</f>
        <v>0</v>
      </c>
      <c r="L167" s="63" t="str">
        <f t="shared" si="25"/>
        <v/>
      </c>
      <c r="M167" s="63" t="b">
        <f>FALSE()</f>
        <v>0</v>
      </c>
      <c r="N167" s="63" t="str">
        <f t="shared" si="26"/>
        <v/>
      </c>
      <c r="O167" s="63" t="b">
        <f>FALSE()</f>
        <v>0</v>
      </c>
      <c r="P167" s="63" t="str">
        <f t="shared" si="27"/>
        <v/>
      </c>
      <c r="Q167" s="63" t="b">
        <f>FALSE()</f>
        <v>0</v>
      </c>
      <c r="R167" s="66">
        <f t="shared" si="28"/>
        <v>0.06</v>
      </c>
      <c r="S167" s="63" t="b">
        <f>TRUE()</f>
        <v>1</v>
      </c>
      <c r="T167" s="63"/>
      <c r="U167" s="63" t="b">
        <f>FALSE()</f>
        <v>0</v>
      </c>
      <c r="V167" s="63" t="str">
        <f t="shared" si="31"/>
        <v/>
      </c>
      <c r="W167" s="63" t="b">
        <f>FALSE()</f>
        <v>0</v>
      </c>
      <c r="X167" s="63" t="str">
        <f t="shared" si="30"/>
        <v/>
      </c>
      <c r="Y167" s="18" t="b">
        <f>FALSE()</f>
        <v>0</v>
      </c>
    </row>
    <row r="168" spans="1:26" ht="14" x14ac:dyDescent="0.25">
      <c r="A168" s="10">
        <v>166</v>
      </c>
      <c r="B168" s="63" t="s">
        <v>120</v>
      </c>
      <c r="C168" s="63" t="s">
        <v>121</v>
      </c>
      <c r="D168" s="90">
        <v>46199</v>
      </c>
      <c r="E168" s="90">
        <v>46201</v>
      </c>
      <c r="F168" s="63">
        <f t="shared" si="22"/>
        <v>3</v>
      </c>
      <c r="G168" s="63">
        <v>450</v>
      </c>
      <c r="H168" s="65">
        <v>135</v>
      </c>
      <c r="I168" s="66">
        <f t="shared" si="32"/>
        <v>0.1</v>
      </c>
      <c r="J168" s="63" t="str">
        <f t="shared" si="24"/>
        <v/>
      </c>
      <c r="K168" s="63" t="b">
        <f>FALSE()</f>
        <v>0</v>
      </c>
      <c r="L168" s="63" t="str">
        <f t="shared" si="25"/>
        <v/>
      </c>
      <c r="M168" s="63" t="b">
        <f>FALSE()</f>
        <v>0</v>
      </c>
      <c r="N168" s="66">
        <f t="shared" si="26"/>
        <v>0.1</v>
      </c>
      <c r="O168" s="63" t="b">
        <f>TRUE()</f>
        <v>1</v>
      </c>
      <c r="P168" s="66">
        <f t="shared" si="27"/>
        <v>0.1</v>
      </c>
      <c r="Q168" s="63" t="b">
        <f>TRUE()</f>
        <v>1</v>
      </c>
      <c r="R168" s="63" t="str">
        <f t="shared" si="28"/>
        <v/>
      </c>
      <c r="S168" s="63" t="b">
        <f>FALSE()</f>
        <v>0</v>
      </c>
      <c r="T168" s="63"/>
      <c r="U168" s="63" t="b">
        <f>FALSE()</f>
        <v>0</v>
      </c>
      <c r="V168" s="63" t="str">
        <f t="shared" si="31"/>
        <v/>
      </c>
      <c r="W168" s="63" t="b">
        <f>FALSE()</f>
        <v>0</v>
      </c>
      <c r="X168" s="63" t="str">
        <f t="shared" si="30"/>
        <v/>
      </c>
      <c r="Y168" s="18" t="b">
        <f>FALSE()</f>
        <v>0</v>
      </c>
    </row>
    <row r="169" spans="1:26" ht="14" x14ac:dyDescent="0.25">
      <c r="A169" s="10">
        <v>167</v>
      </c>
      <c r="B169" s="63" t="s">
        <v>37</v>
      </c>
      <c r="C169" s="63" t="s">
        <v>209</v>
      </c>
      <c r="D169" s="90">
        <v>46200</v>
      </c>
      <c r="E169" s="90">
        <v>46214</v>
      </c>
      <c r="F169" s="63">
        <f t="shared" si="22"/>
        <v>15</v>
      </c>
      <c r="G169" s="63">
        <v>2250</v>
      </c>
      <c r="H169" s="65">
        <v>1687.5</v>
      </c>
      <c r="I169" s="66">
        <f t="shared" si="32"/>
        <v>0.05</v>
      </c>
      <c r="J169" s="66">
        <f t="shared" si="24"/>
        <v>0.05</v>
      </c>
      <c r="K169" s="63" t="b">
        <f>TRUE()</f>
        <v>1</v>
      </c>
      <c r="L169" s="66">
        <f t="shared" si="25"/>
        <v>0.05</v>
      </c>
      <c r="M169" s="63" t="b">
        <f>TRUE()</f>
        <v>1</v>
      </c>
      <c r="N169" s="66">
        <f t="shared" si="26"/>
        <v>0.05</v>
      </c>
      <c r="O169" s="63" t="b">
        <f>TRUE()</f>
        <v>1</v>
      </c>
      <c r="P169" s="63" t="str">
        <f t="shared" si="27"/>
        <v/>
      </c>
      <c r="Q169" s="63" t="b">
        <f>FALSE()</f>
        <v>0</v>
      </c>
      <c r="R169" s="66">
        <f t="shared" si="28"/>
        <v>0.05</v>
      </c>
      <c r="S169" s="63" t="b">
        <f>TRUE()</f>
        <v>1</v>
      </c>
      <c r="T169" s="63"/>
      <c r="U169" s="63" t="b">
        <f>FALSE()</f>
        <v>0</v>
      </c>
      <c r="V169" s="63" t="str">
        <f t="shared" si="31"/>
        <v/>
      </c>
      <c r="W169" s="63" t="b">
        <f>FALSE()</f>
        <v>0</v>
      </c>
      <c r="X169" s="66">
        <f t="shared" si="30"/>
        <v>0.05</v>
      </c>
      <c r="Y169" s="18" t="b">
        <f>TRUE()</f>
        <v>1</v>
      </c>
    </row>
    <row r="170" spans="1:26" ht="14" x14ac:dyDescent="0.25">
      <c r="A170" s="10">
        <v>168</v>
      </c>
      <c r="B170" s="63" t="s">
        <v>37</v>
      </c>
      <c r="C170" s="63" t="s">
        <v>210</v>
      </c>
      <c r="D170" s="90">
        <v>46215</v>
      </c>
      <c r="E170" s="90">
        <v>46234</v>
      </c>
      <c r="F170" s="63">
        <f t="shared" si="22"/>
        <v>20</v>
      </c>
      <c r="G170" s="63">
        <v>450</v>
      </c>
      <c r="H170" s="65">
        <v>337.5</v>
      </c>
      <c r="I170" s="66">
        <f t="shared" si="32"/>
        <v>3.7499999999999999E-2</v>
      </c>
      <c r="J170" s="63" t="str">
        <f t="shared" si="24"/>
        <v/>
      </c>
      <c r="K170" s="63" t="b">
        <f>FALSE()</f>
        <v>0</v>
      </c>
      <c r="L170" s="63" t="str">
        <f t="shared" si="25"/>
        <v/>
      </c>
      <c r="M170" s="63" t="b">
        <f>FALSE()</f>
        <v>0</v>
      </c>
      <c r="N170" s="63" t="str">
        <f t="shared" si="26"/>
        <v/>
      </c>
      <c r="O170" s="63" t="b">
        <f>FALSE()</f>
        <v>0</v>
      </c>
      <c r="P170" s="63" t="str">
        <f t="shared" si="27"/>
        <v/>
      </c>
      <c r="Q170" s="63" t="b">
        <f>FALSE()</f>
        <v>0</v>
      </c>
      <c r="R170" s="63" t="str">
        <f t="shared" si="28"/>
        <v/>
      </c>
      <c r="S170" s="63" t="b">
        <f>FALSE()</f>
        <v>0</v>
      </c>
      <c r="T170" s="63"/>
      <c r="U170" s="63" t="b">
        <f>FALSE()</f>
        <v>0</v>
      </c>
      <c r="V170" s="63" t="str">
        <f t="shared" si="31"/>
        <v/>
      </c>
      <c r="W170" s="63" t="b">
        <f>FALSE()</f>
        <v>0</v>
      </c>
      <c r="X170" s="66">
        <f t="shared" si="30"/>
        <v>3.7499999999999999E-2</v>
      </c>
      <c r="Y170" s="18" t="b">
        <f>TRUE()</f>
        <v>1</v>
      </c>
    </row>
    <row r="171" spans="1:26" ht="14" x14ac:dyDescent="0.25">
      <c r="A171" s="10">
        <v>169</v>
      </c>
      <c r="B171" s="63" t="s">
        <v>74</v>
      </c>
      <c r="C171" s="63" t="s">
        <v>211</v>
      </c>
      <c r="D171" s="90">
        <v>46200</v>
      </c>
      <c r="E171" s="90">
        <v>46206</v>
      </c>
      <c r="F171" s="63">
        <f t="shared" si="22"/>
        <v>7</v>
      </c>
      <c r="G171" s="63">
        <v>1350</v>
      </c>
      <c r="H171" s="65">
        <v>472.5</v>
      </c>
      <c r="I171" s="66">
        <f t="shared" si="32"/>
        <v>0.05</v>
      </c>
      <c r="J171" s="63" t="str">
        <f t="shared" si="24"/>
        <v/>
      </c>
      <c r="K171" s="63" t="b">
        <f>FALSE()</f>
        <v>0</v>
      </c>
      <c r="L171" s="66">
        <f t="shared" si="25"/>
        <v>0.05</v>
      </c>
      <c r="M171" s="63" t="b">
        <f>TRUE()</f>
        <v>1</v>
      </c>
      <c r="N171" s="63" t="str">
        <f t="shared" si="26"/>
        <v/>
      </c>
      <c r="O171" s="63" t="b">
        <f>FALSE()</f>
        <v>0</v>
      </c>
      <c r="P171" s="63" t="str">
        <f t="shared" si="27"/>
        <v/>
      </c>
      <c r="Q171" s="63" t="b">
        <f>FALSE()</f>
        <v>0</v>
      </c>
      <c r="R171" s="63" t="str">
        <f t="shared" si="28"/>
        <v/>
      </c>
      <c r="S171" s="63" t="b">
        <f>FALSE()</f>
        <v>0</v>
      </c>
      <c r="T171" s="63"/>
      <c r="U171" s="63" t="b">
        <f>TRUE()</f>
        <v>1</v>
      </c>
      <c r="V171" s="66">
        <f t="shared" si="31"/>
        <v>0.05</v>
      </c>
      <c r="W171" s="63" t="b">
        <f>TRUE()</f>
        <v>1</v>
      </c>
      <c r="X171" s="63" t="str">
        <f t="shared" si="30"/>
        <v/>
      </c>
      <c r="Y171" s="18" t="b">
        <f>FALSE()</f>
        <v>0</v>
      </c>
    </row>
    <row r="172" spans="1:26" ht="14" x14ac:dyDescent="0.25">
      <c r="A172" s="10">
        <v>170</v>
      </c>
      <c r="B172" s="63" t="s">
        <v>212</v>
      </c>
      <c r="C172" s="63" t="s">
        <v>213</v>
      </c>
      <c r="D172" s="90">
        <v>46198</v>
      </c>
      <c r="E172" s="90">
        <v>46227</v>
      </c>
      <c r="F172" s="63">
        <f t="shared" si="22"/>
        <v>30</v>
      </c>
      <c r="G172" s="63">
        <v>900</v>
      </c>
      <c r="H172" s="65">
        <v>1975.5</v>
      </c>
      <c r="I172" s="66">
        <f t="shared" si="32"/>
        <v>7.3166666666666672E-2</v>
      </c>
      <c r="J172" s="63" t="str">
        <f t="shared" si="24"/>
        <v/>
      </c>
      <c r="K172" s="63" t="b">
        <f>FALSE()</f>
        <v>0</v>
      </c>
      <c r="L172" s="63" t="str">
        <f t="shared" si="25"/>
        <v/>
      </c>
      <c r="M172" s="63" t="b">
        <f>FALSE()</f>
        <v>0</v>
      </c>
      <c r="N172" s="63" t="str">
        <f t="shared" si="26"/>
        <v/>
      </c>
      <c r="O172" s="63" t="b">
        <f>FALSE()</f>
        <v>0</v>
      </c>
      <c r="P172" s="66">
        <f t="shared" si="27"/>
        <v>7.3166666666666672E-2</v>
      </c>
      <c r="Q172" s="63" t="b">
        <f>TRUE()</f>
        <v>1</v>
      </c>
      <c r="R172" s="66">
        <f t="shared" si="28"/>
        <v>7.3166666666666672E-2</v>
      </c>
      <c r="S172" s="63" t="b">
        <f>TRUE()</f>
        <v>1</v>
      </c>
      <c r="T172" s="63"/>
      <c r="U172" s="63" t="b">
        <f>FALSE()</f>
        <v>0</v>
      </c>
      <c r="V172" s="63" t="str">
        <f t="shared" si="31"/>
        <v/>
      </c>
      <c r="W172" s="63" t="b">
        <f>FALSE()</f>
        <v>0</v>
      </c>
      <c r="X172" s="63" t="str">
        <f t="shared" si="30"/>
        <v/>
      </c>
      <c r="Y172" s="18" t="b">
        <f>FALSE()</f>
        <v>0</v>
      </c>
    </row>
    <row r="173" spans="1:26" ht="14" x14ac:dyDescent="0.25">
      <c r="A173" s="10">
        <v>171</v>
      </c>
      <c r="B173" s="63" t="s">
        <v>214</v>
      </c>
      <c r="C173" s="63" t="s">
        <v>57</v>
      </c>
      <c r="D173" s="90">
        <v>46204</v>
      </c>
      <c r="E173" s="90">
        <v>46295</v>
      </c>
      <c r="F173" s="63">
        <f t="shared" si="22"/>
        <v>92</v>
      </c>
      <c r="G173" s="63">
        <v>900</v>
      </c>
      <c r="H173" s="65">
        <v>4350</v>
      </c>
      <c r="I173" s="66">
        <f t="shared" si="32"/>
        <v>5.2536231884057968E-2</v>
      </c>
      <c r="J173" s="66">
        <f t="shared" si="24"/>
        <v>5.2536231884057968E-2</v>
      </c>
      <c r="K173" s="63" t="b">
        <f>TRUE()</f>
        <v>1</v>
      </c>
      <c r="L173" s="63" t="str">
        <f t="shared" si="25"/>
        <v/>
      </c>
      <c r="M173" s="63" t="b">
        <f>FALSE()</f>
        <v>0</v>
      </c>
      <c r="N173" s="63" t="str">
        <f t="shared" si="26"/>
        <v/>
      </c>
      <c r="O173" s="63" t="b">
        <f>FALSE()</f>
        <v>0</v>
      </c>
      <c r="P173" s="66">
        <f t="shared" si="27"/>
        <v>5.2536231884057968E-2</v>
      </c>
      <c r="Q173" s="63" t="b">
        <f>TRUE()</f>
        <v>1</v>
      </c>
      <c r="R173" s="63" t="str">
        <f t="shared" si="28"/>
        <v/>
      </c>
      <c r="S173" s="63" t="b">
        <f>FALSE()</f>
        <v>0</v>
      </c>
      <c r="T173" s="63"/>
      <c r="U173" s="63" t="b">
        <f>FALSE()</f>
        <v>0</v>
      </c>
      <c r="V173" s="63" t="str">
        <f t="shared" si="31"/>
        <v/>
      </c>
      <c r="W173" s="63" t="b">
        <f>FALSE()</f>
        <v>0</v>
      </c>
      <c r="X173" s="63" t="str">
        <f t="shared" si="30"/>
        <v/>
      </c>
      <c r="Y173" s="18" t="b">
        <f>FALSE()</f>
        <v>0</v>
      </c>
    </row>
    <row r="174" spans="1:26" ht="14" x14ac:dyDescent="0.25">
      <c r="A174" s="10">
        <v>172</v>
      </c>
      <c r="B174" s="27" t="s">
        <v>158</v>
      </c>
      <c r="C174" s="27" t="s">
        <v>24</v>
      </c>
      <c r="D174" s="84">
        <v>46204</v>
      </c>
      <c r="E174" s="84">
        <v>46234</v>
      </c>
      <c r="F174" s="27">
        <f t="shared" si="22"/>
        <v>31</v>
      </c>
      <c r="G174" s="27">
        <v>900</v>
      </c>
      <c r="H174" s="44">
        <v>1200</v>
      </c>
      <c r="I174" s="22">
        <f t="shared" si="32"/>
        <v>4.3010752688172046E-2</v>
      </c>
      <c r="J174" s="31">
        <f t="shared" si="24"/>
        <v>4.3010752688172046E-2</v>
      </c>
      <c r="K174" s="18" t="b">
        <f>TRUE()</f>
        <v>1</v>
      </c>
      <c r="L174" s="19" t="str">
        <f t="shared" si="25"/>
        <v/>
      </c>
      <c r="M174" s="19" t="b">
        <f>FALSE()</f>
        <v>0</v>
      </c>
      <c r="N174" s="17" t="str">
        <f t="shared" si="26"/>
        <v/>
      </c>
      <c r="O174" s="18" t="b">
        <f>FALSE()</f>
        <v>0</v>
      </c>
      <c r="P174" s="29">
        <f t="shared" si="27"/>
        <v>4.3010752688172046E-2</v>
      </c>
      <c r="Q174" s="19" t="b">
        <f>TRUE()</f>
        <v>1</v>
      </c>
      <c r="R174" s="17" t="str">
        <f t="shared" si="28"/>
        <v/>
      </c>
      <c r="S174" s="18" t="b">
        <f>FALSE()</f>
        <v>0</v>
      </c>
      <c r="T174" s="19"/>
      <c r="U174" s="18" t="b">
        <f>FALSE()</f>
        <v>0</v>
      </c>
      <c r="V174" s="19" t="str">
        <f t="shared" si="31"/>
        <v/>
      </c>
      <c r="W174" s="18" t="b">
        <f>FALSE()</f>
        <v>0</v>
      </c>
      <c r="X174" s="19" t="str">
        <f t="shared" si="30"/>
        <v/>
      </c>
      <c r="Y174" s="18" t="b">
        <f>FALSE()</f>
        <v>0</v>
      </c>
    </row>
    <row r="175" spans="1:26" ht="14" x14ac:dyDescent="0.25">
      <c r="A175" s="10">
        <v>173</v>
      </c>
      <c r="B175" s="27" t="s">
        <v>108</v>
      </c>
      <c r="C175" s="27" t="s">
        <v>24</v>
      </c>
      <c r="D175" s="84">
        <v>46204</v>
      </c>
      <c r="E175" s="84">
        <v>46234</v>
      </c>
      <c r="F175" s="13">
        <f t="shared" si="22"/>
        <v>31</v>
      </c>
      <c r="G175" s="13">
        <v>450</v>
      </c>
      <c r="H175" s="41">
        <v>600</v>
      </c>
      <c r="I175" s="52">
        <f t="shared" si="32"/>
        <v>4.3010752688172046E-2</v>
      </c>
      <c r="J175" s="17" t="str">
        <f t="shared" si="24"/>
        <v/>
      </c>
      <c r="K175" s="18" t="b">
        <f>FALSE()</f>
        <v>0</v>
      </c>
      <c r="L175" s="19" t="str">
        <f t="shared" si="25"/>
        <v/>
      </c>
      <c r="M175" s="19" t="b">
        <f>FALSE()</f>
        <v>0</v>
      </c>
      <c r="N175" s="17" t="str">
        <f t="shared" si="26"/>
        <v/>
      </c>
      <c r="O175" s="18" t="b">
        <f>FALSE()</f>
        <v>0</v>
      </c>
      <c r="P175" s="19" t="str">
        <f t="shared" si="27"/>
        <v/>
      </c>
      <c r="Q175" s="19" t="b">
        <f>FALSE()</f>
        <v>0</v>
      </c>
      <c r="R175" s="17" t="str">
        <f t="shared" si="28"/>
        <v/>
      </c>
      <c r="S175" s="18" t="b">
        <f>FALSE()</f>
        <v>0</v>
      </c>
      <c r="T175" s="19"/>
      <c r="U175" s="18" t="b">
        <f>TRUE()</f>
        <v>1</v>
      </c>
      <c r="V175" s="19" t="str">
        <f t="shared" si="31"/>
        <v/>
      </c>
      <c r="W175" s="18" t="b">
        <f>FALSE()</f>
        <v>0</v>
      </c>
      <c r="X175" s="19" t="str">
        <f t="shared" si="30"/>
        <v/>
      </c>
      <c r="Y175" s="18" t="b">
        <f>FALSE()</f>
        <v>0</v>
      </c>
    </row>
    <row r="176" spans="1:26" ht="14" x14ac:dyDescent="0.3">
      <c r="A176" s="10">
        <v>174</v>
      </c>
      <c r="B176" s="27" t="s">
        <v>215</v>
      </c>
      <c r="C176" s="27" t="s">
        <v>57</v>
      </c>
      <c r="D176" s="84">
        <v>46199</v>
      </c>
      <c r="E176" s="84">
        <v>46228</v>
      </c>
      <c r="F176" s="13">
        <f t="shared" si="22"/>
        <v>30</v>
      </c>
      <c r="G176" s="13">
        <v>1800</v>
      </c>
      <c r="H176" s="41">
        <v>2083.33</v>
      </c>
      <c r="I176" s="52">
        <f t="shared" si="32"/>
        <v>3.8580185185185183E-2</v>
      </c>
      <c r="J176" s="31">
        <f t="shared" si="24"/>
        <v>3.8580185185185183E-2</v>
      </c>
      <c r="K176" s="18" t="b">
        <f>TRUE()</f>
        <v>1</v>
      </c>
      <c r="L176" s="29">
        <f t="shared" si="25"/>
        <v>3.8580185185185183E-2</v>
      </c>
      <c r="M176" s="19" t="b">
        <f>TRUE()</f>
        <v>1</v>
      </c>
      <c r="N176" s="17" t="str">
        <f t="shared" si="26"/>
        <v/>
      </c>
      <c r="O176" s="18" t="b">
        <f>FALSE()</f>
        <v>0</v>
      </c>
      <c r="P176" s="19" t="str">
        <f t="shared" si="27"/>
        <v/>
      </c>
      <c r="Q176" s="19" t="b">
        <f>FALSE()</f>
        <v>0</v>
      </c>
      <c r="R176" s="31">
        <f t="shared" si="28"/>
        <v>3.8580185185185183E-2</v>
      </c>
      <c r="S176" s="18" t="b">
        <f>TRUE()</f>
        <v>1</v>
      </c>
      <c r="T176" s="19"/>
      <c r="U176" s="18" t="b">
        <f>TRUE()</f>
        <v>1</v>
      </c>
      <c r="V176" s="19" t="str">
        <f t="shared" si="31"/>
        <v/>
      </c>
      <c r="W176" s="18" t="b">
        <f>FALSE()</f>
        <v>0</v>
      </c>
      <c r="X176" s="19" t="str">
        <f t="shared" si="30"/>
        <v/>
      </c>
      <c r="Y176" s="18" t="b">
        <f>FALSE()</f>
        <v>0</v>
      </c>
      <c r="Z176" s="54" t="s">
        <v>216</v>
      </c>
    </row>
    <row r="177" spans="1:26" ht="14" x14ac:dyDescent="0.25">
      <c r="A177" s="10">
        <v>175</v>
      </c>
      <c r="B177" s="27" t="s">
        <v>84</v>
      </c>
      <c r="C177" s="27" t="s">
        <v>156</v>
      </c>
      <c r="D177" s="84">
        <v>46202</v>
      </c>
      <c r="E177" s="84">
        <v>46233</v>
      </c>
      <c r="F177" s="13">
        <f t="shared" si="22"/>
        <v>32</v>
      </c>
      <c r="G177" s="13">
        <v>900</v>
      </c>
      <c r="H177" s="41">
        <v>1080</v>
      </c>
      <c r="I177" s="52">
        <f t="shared" si="32"/>
        <v>3.7499999999999999E-2</v>
      </c>
      <c r="J177" s="31">
        <f t="shared" si="24"/>
        <v>3.7499999999999999E-2</v>
      </c>
      <c r="K177" s="18" t="b">
        <f>TRUE()</f>
        <v>1</v>
      </c>
      <c r="L177" s="19" t="str">
        <f t="shared" si="25"/>
        <v/>
      </c>
      <c r="M177" s="19" t="b">
        <f>FALSE()</f>
        <v>0</v>
      </c>
      <c r="N177" s="31">
        <f t="shared" si="26"/>
        <v>3.7499999999999999E-2</v>
      </c>
      <c r="O177" s="18" t="b">
        <f>TRUE()</f>
        <v>1</v>
      </c>
      <c r="P177" s="19" t="str">
        <f t="shared" si="27"/>
        <v/>
      </c>
      <c r="Q177" s="19" t="b">
        <f>FALSE()</f>
        <v>0</v>
      </c>
      <c r="R177" s="31">
        <f t="shared" si="28"/>
        <v>3.7499999999999999E-2</v>
      </c>
      <c r="S177" s="18" t="b">
        <f>TRUE()</f>
        <v>1</v>
      </c>
      <c r="T177" s="19"/>
      <c r="U177" s="18" t="b">
        <f>FALSE()</f>
        <v>0</v>
      </c>
      <c r="V177" s="19" t="str">
        <f t="shared" si="31"/>
        <v/>
      </c>
      <c r="W177" s="18" t="b">
        <f>FALSE()</f>
        <v>0</v>
      </c>
      <c r="X177" s="19" t="str">
        <f t="shared" si="30"/>
        <v/>
      </c>
      <c r="Y177" s="18" t="b">
        <f>FALSE()</f>
        <v>0</v>
      </c>
    </row>
    <row r="178" spans="1:26" ht="14" x14ac:dyDescent="0.25">
      <c r="A178" s="10">
        <v>176</v>
      </c>
      <c r="B178" s="27" t="s">
        <v>140</v>
      </c>
      <c r="C178" s="27" t="s">
        <v>57</v>
      </c>
      <c r="D178" s="84">
        <v>46204</v>
      </c>
      <c r="E178" s="84">
        <v>46234</v>
      </c>
      <c r="F178" s="13">
        <f t="shared" si="22"/>
        <v>31</v>
      </c>
      <c r="G178" s="13">
        <v>450</v>
      </c>
      <c r="H178" s="41">
        <v>810</v>
      </c>
      <c r="I178" s="52">
        <f t="shared" si="32"/>
        <v>5.8064516129032261E-2</v>
      </c>
      <c r="J178" s="31">
        <f t="shared" si="24"/>
        <v>5.8064516129032261E-2</v>
      </c>
      <c r="K178" s="18" t="b">
        <f>TRUE()</f>
        <v>1</v>
      </c>
      <c r="L178" s="19" t="str">
        <f t="shared" si="25"/>
        <v/>
      </c>
      <c r="M178" s="19" t="b">
        <f>FALSE()</f>
        <v>0</v>
      </c>
      <c r="N178" s="17" t="str">
        <f t="shared" si="26"/>
        <v/>
      </c>
      <c r="O178" s="18" t="b">
        <f>FALSE()</f>
        <v>0</v>
      </c>
      <c r="P178" s="19" t="str">
        <f t="shared" si="27"/>
        <v/>
      </c>
      <c r="Q178" s="19" t="b">
        <f>FALSE()</f>
        <v>0</v>
      </c>
      <c r="R178" s="17" t="str">
        <f t="shared" si="28"/>
        <v/>
      </c>
      <c r="S178" s="18" t="b">
        <f>FALSE()</f>
        <v>0</v>
      </c>
      <c r="T178" s="19"/>
      <c r="U178" s="18" t="b">
        <f>FALSE()</f>
        <v>0</v>
      </c>
      <c r="V178" s="19" t="str">
        <f t="shared" si="31"/>
        <v/>
      </c>
      <c r="W178" s="18" t="b">
        <f>FALSE()</f>
        <v>0</v>
      </c>
      <c r="X178" s="19" t="str">
        <f t="shared" si="30"/>
        <v/>
      </c>
      <c r="Y178" s="18" t="b">
        <f>FALSE()</f>
        <v>0</v>
      </c>
    </row>
    <row r="179" spans="1:26" ht="14" x14ac:dyDescent="0.25">
      <c r="A179" s="10">
        <v>177</v>
      </c>
      <c r="B179" s="27" t="s">
        <v>155</v>
      </c>
      <c r="C179" s="27" t="s">
        <v>57</v>
      </c>
      <c r="D179" s="84">
        <v>46204</v>
      </c>
      <c r="E179" s="84">
        <v>46234</v>
      </c>
      <c r="F179" s="13">
        <f t="shared" si="22"/>
        <v>31</v>
      </c>
      <c r="G179" s="13">
        <v>900</v>
      </c>
      <c r="H179" s="41">
        <v>1200</v>
      </c>
      <c r="I179" s="52">
        <f t="shared" si="32"/>
        <v>4.3010752688172046E-2</v>
      </c>
      <c r="J179" s="17" t="str">
        <f t="shared" si="24"/>
        <v/>
      </c>
      <c r="K179" s="18" t="b">
        <f>FALSE()</f>
        <v>0</v>
      </c>
      <c r="L179" s="19" t="str">
        <f t="shared" si="25"/>
        <v/>
      </c>
      <c r="M179" s="19" t="b">
        <f>FALSE()</f>
        <v>0</v>
      </c>
      <c r="N179" s="17" t="str">
        <f t="shared" si="26"/>
        <v/>
      </c>
      <c r="O179" s="18" t="b">
        <f>FALSE()</f>
        <v>0</v>
      </c>
      <c r="P179" s="29">
        <f t="shared" si="27"/>
        <v>4.3010752688172046E-2</v>
      </c>
      <c r="Q179" s="19" t="b">
        <f>TRUE()</f>
        <v>1</v>
      </c>
      <c r="R179" s="17" t="str">
        <f t="shared" si="28"/>
        <v/>
      </c>
      <c r="S179" s="18" t="b">
        <f>FALSE()</f>
        <v>0</v>
      </c>
      <c r="T179" s="19">
        <v>0.04</v>
      </c>
      <c r="U179" s="18" t="b">
        <f>TRUE()</f>
        <v>1</v>
      </c>
      <c r="V179" s="19" t="str">
        <f t="shared" si="31"/>
        <v/>
      </c>
      <c r="W179" s="18" t="b">
        <f>FALSE()</f>
        <v>0</v>
      </c>
      <c r="X179" s="19" t="str">
        <f t="shared" ref="X179:X210" si="33">IF(Y179=TRUE(),$I179,"")</f>
        <v/>
      </c>
      <c r="Y179" s="18" t="b">
        <f>FALSE()</f>
        <v>0</v>
      </c>
    </row>
    <row r="180" spans="1:26" ht="14" x14ac:dyDescent="0.25">
      <c r="A180" s="10">
        <v>178</v>
      </c>
      <c r="B180" s="27" t="s">
        <v>202</v>
      </c>
      <c r="C180" s="27" t="s">
        <v>57</v>
      </c>
      <c r="D180" s="84">
        <v>46204</v>
      </c>
      <c r="E180" s="84">
        <v>46234</v>
      </c>
      <c r="F180" s="13">
        <f t="shared" si="22"/>
        <v>31</v>
      </c>
      <c r="G180" s="13">
        <v>900</v>
      </c>
      <c r="H180" s="41">
        <v>900</v>
      </c>
      <c r="I180" s="52">
        <f t="shared" si="32"/>
        <v>3.2258064516129031E-2</v>
      </c>
      <c r="J180" s="17" t="str">
        <f t="shared" si="24"/>
        <v/>
      </c>
      <c r="K180" s="18" t="b">
        <f>FALSE()</f>
        <v>0</v>
      </c>
      <c r="L180" s="29">
        <f t="shared" si="25"/>
        <v>3.2258064516129031E-2</v>
      </c>
      <c r="M180" s="19" t="b">
        <f>TRUE()</f>
        <v>1</v>
      </c>
      <c r="N180" s="17" t="str">
        <f t="shared" si="26"/>
        <v/>
      </c>
      <c r="O180" s="18" t="b">
        <f>FALSE()</f>
        <v>0</v>
      </c>
      <c r="P180" s="19" t="str">
        <f t="shared" si="27"/>
        <v/>
      </c>
      <c r="Q180" s="19" t="b">
        <f>FALSE()</f>
        <v>0</v>
      </c>
      <c r="R180" s="31">
        <f t="shared" si="28"/>
        <v>3.2258064516129031E-2</v>
      </c>
      <c r="S180" s="18" t="b">
        <f>TRUE()</f>
        <v>1</v>
      </c>
      <c r="T180" s="19">
        <v>0.03</v>
      </c>
      <c r="U180" s="18" t="b">
        <f>TRUE()</f>
        <v>1</v>
      </c>
      <c r="V180" s="19" t="str">
        <f t="shared" si="31"/>
        <v/>
      </c>
      <c r="W180" s="18" t="b">
        <f>FALSE()</f>
        <v>0</v>
      </c>
      <c r="X180" s="19" t="str">
        <f t="shared" si="33"/>
        <v/>
      </c>
      <c r="Y180" s="18" t="b">
        <f>FALSE()</f>
        <v>0</v>
      </c>
    </row>
    <row r="181" spans="1:26" ht="14" x14ac:dyDescent="0.3">
      <c r="A181" s="10">
        <v>179</v>
      </c>
      <c r="B181" s="49" t="s">
        <v>126</v>
      </c>
      <c r="C181" s="49" t="s">
        <v>57</v>
      </c>
      <c r="D181" s="84">
        <v>46204</v>
      </c>
      <c r="E181" s="84">
        <v>46234</v>
      </c>
      <c r="F181" s="35">
        <f t="shared" si="22"/>
        <v>31</v>
      </c>
      <c r="G181" s="67">
        <v>300</v>
      </c>
      <c r="H181" s="68">
        <v>550</v>
      </c>
      <c r="I181" s="69">
        <f t="shared" si="32"/>
        <v>5.9139784946236562E-2</v>
      </c>
      <c r="J181" s="70">
        <f t="shared" si="24"/>
        <v>5.9139784946236562E-2</v>
      </c>
      <c r="K181" s="71" t="b">
        <f>TRUE()</f>
        <v>1</v>
      </c>
      <c r="L181" s="72" t="str">
        <f t="shared" si="25"/>
        <v/>
      </c>
      <c r="M181" s="73" t="b">
        <f>FALSE()</f>
        <v>0</v>
      </c>
      <c r="N181" s="74" t="str">
        <f t="shared" si="26"/>
        <v/>
      </c>
      <c r="O181" s="71" t="b">
        <f>FALSE()</f>
        <v>0</v>
      </c>
      <c r="P181" s="72" t="str">
        <f t="shared" si="27"/>
        <v/>
      </c>
      <c r="Q181" s="73" t="b">
        <f>FALSE()</f>
        <v>0</v>
      </c>
      <c r="R181" s="74" t="str">
        <f t="shared" si="28"/>
        <v/>
      </c>
      <c r="S181" s="71" t="b">
        <f>FALSE()</f>
        <v>0</v>
      </c>
      <c r="T181" s="72"/>
      <c r="U181" s="71" t="b">
        <f>FALSE()</f>
        <v>0</v>
      </c>
      <c r="V181" s="72" t="str">
        <f t="shared" si="31"/>
        <v/>
      </c>
      <c r="W181" s="71" t="b">
        <f>FALSE()</f>
        <v>0</v>
      </c>
      <c r="X181" s="72" t="str">
        <f t="shared" si="33"/>
        <v/>
      </c>
      <c r="Y181" s="71" t="b">
        <f>FALSE()</f>
        <v>0</v>
      </c>
    </row>
    <row r="182" spans="1:26" ht="14" x14ac:dyDescent="0.3">
      <c r="A182" s="10">
        <v>180</v>
      </c>
      <c r="B182" s="49" t="s">
        <v>33</v>
      </c>
      <c r="C182" s="49" t="s">
        <v>57</v>
      </c>
      <c r="D182" s="91">
        <v>46204</v>
      </c>
      <c r="E182" s="91">
        <v>46234</v>
      </c>
      <c r="F182" s="35">
        <f t="shared" si="22"/>
        <v>31</v>
      </c>
      <c r="G182" s="67">
        <v>600</v>
      </c>
      <c r="H182" s="68">
        <v>1100</v>
      </c>
      <c r="I182" s="69">
        <f t="shared" si="32"/>
        <v>5.9139784946236562E-2</v>
      </c>
      <c r="J182" s="74" t="str">
        <f t="shared" si="24"/>
        <v/>
      </c>
      <c r="K182" s="71" t="b">
        <f>FALSE()</f>
        <v>0</v>
      </c>
      <c r="L182" s="72" t="str">
        <f t="shared" si="25"/>
        <v/>
      </c>
      <c r="M182" s="73" t="b">
        <f>FALSE()</f>
        <v>0</v>
      </c>
      <c r="N182" s="74" t="str">
        <f t="shared" si="26"/>
        <v/>
      </c>
      <c r="O182" s="71" t="b">
        <f>FALSE()</f>
        <v>0</v>
      </c>
      <c r="P182" s="76">
        <f t="shared" si="27"/>
        <v>5.9139784946236562E-2</v>
      </c>
      <c r="Q182" s="73" t="b">
        <f>TRUE()</f>
        <v>1</v>
      </c>
      <c r="R182" s="70">
        <f t="shared" si="28"/>
        <v>5.9139784946236562E-2</v>
      </c>
      <c r="S182" s="71" t="b">
        <f>TRUE()</f>
        <v>1</v>
      </c>
      <c r="T182" s="72"/>
      <c r="U182" s="71" t="b">
        <f>FALSE()</f>
        <v>0</v>
      </c>
      <c r="V182" s="72" t="str">
        <f t="shared" si="31"/>
        <v/>
      </c>
      <c r="W182" s="71" t="b">
        <f>FALSE()</f>
        <v>0</v>
      </c>
      <c r="X182" s="72" t="str">
        <f t="shared" si="33"/>
        <v/>
      </c>
      <c r="Y182" s="71" t="b">
        <f>FALSE()</f>
        <v>0</v>
      </c>
    </row>
    <row r="183" spans="1:26" ht="14" x14ac:dyDescent="0.3">
      <c r="A183" s="10">
        <v>181</v>
      </c>
      <c r="B183" s="49" t="s">
        <v>217</v>
      </c>
      <c r="C183" s="49" t="s">
        <v>57</v>
      </c>
      <c r="D183" s="91">
        <v>46204</v>
      </c>
      <c r="E183" s="91">
        <v>46218</v>
      </c>
      <c r="F183" s="35">
        <f t="shared" si="22"/>
        <v>15</v>
      </c>
      <c r="G183" s="67">
        <v>900</v>
      </c>
      <c r="H183" s="68">
        <v>750</v>
      </c>
      <c r="I183" s="69">
        <f t="shared" si="32"/>
        <v>5.5555555555555552E-2</v>
      </c>
      <c r="J183" s="74" t="str">
        <f t="shared" si="24"/>
        <v/>
      </c>
      <c r="K183" s="71" t="b">
        <f>FALSE()</f>
        <v>0</v>
      </c>
      <c r="L183" s="72" t="str">
        <f t="shared" si="25"/>
        <v/>
      </c>
      <c r="M183" s="73" t="b">
        <f>FALSE()</f>
        <v>0</v>
      </c>
      <c r="N183" s="70">
        <f t="shared" si="26"/>
        <v>5.5555555555555552E-2</v>
      </c>
      <c r="O183" s="71" t="b">
        <f>TRUE()</f>
        <v>1</v>
      </c>
      <c r="P183" s="72" t="str">
        <f t="shared" si="27"/>
        <v/>
      </c>
      <c r="Q183" s="73" t="b">
        <f>FALSE()</f>
        <v>0</v>
      </c>
      <c r="R183" s="74" t="str">
        <f t="shared" si="28"/>
        <v/>
      </c>
      <c r="S183" s="71" t="b">
        <f>FALSE()</f>
        <v>0</v>
      </c>
      <c r="T183" s="72"/>
      <c r="U183" s="71" t="b">
        <f>FALSE()</f>
        <v>0</v>
      </c>
      <c r="V183" s="76">
        <f t="shared" si="31"/>
        <v>5.5555555555555552E-2</v>
      </c>
      <c r="W183" s="71" t="b">
        <f>TRUE()</f>
        <v>1</v>
      </c>
      <c r="X183" s="72" t="str">
        <f t="shared" si="33"/>
        <v/>
      </c>
      <c r="Y183" s="71" t="b">
        <f>FALSE()</f>
        <v>0</v>
      </c>
    </row>
    <row r="184" spans="1:26" ht="14" x14ac:dyDescent="0.3">
      <c r="A184" s="10">
        <v>182</v>
      </c>
      <c r="B184" s="49" t="s">
        <v>217</v>
      </c>
      <c r="C184" s="49" t="s">
        <v>57</v>
      </c>
      <c r="D184" s="91">
        <v>46219</v>
      </c>
      <c r="E184" s="91">
        <v>46234</v>
      </c>
      <c r="F184" s="35">
        <f t="shared" si="22"/>
        <v>16</v>
      </c>
      <c r="G184" s="67">
        <v>900</v>
      </c>
      <c r="H184" s="68">
        <v>750</v>
      </c>
      <c r="I184" s="69">
        <f t="shared" si="32"/>
        <v>5.2083333333333336E-2</v>
      </c>
      <c r="J184" s="74" t="str">
        <f t="shared" si="24"/>
        <v/>
      </c>
      <c r="K184" s="71" t="b">
        <f>FALSE()</f>
        <v>0</v>
      </c>
      <c r="L184" s="72" t="str">
        <f t="shared" si="25"/>
        <v/>
      </c>
      <c r="M184" s="73" t="b">
        <f>FALSE()</f>
        <v>0</v>
      </c>
      <c r="N184" s="74" t="str">
        <f t="shared" si="26"/>
        <v/>
      </c>
      <c r="O184" s="71" t="b">
        <f>FALSE()</f>
        <v>0</v>
      </c>
      <c r="P184" s="76">
        <f t="shared" si="27"/>
        <v>5.2083333333333336E-2</v>
      </c>
      <c r="Q184" s="73" t="b">
        <f>TRUE()</f>
        <v>1</v>
      </c>
      <c r="R184" s="70">
        <f t="shared" si="28"/>
        <v>5.2083333333333336E-2</v>
      </c>
      <c r="S184" s="71" t="b">
        <f>TRUE()</f>
        <v>1</v>
      </c>
      <c r="T184" s="72"/>
      <c r="U184" s="71" t="b">
        <f>FALSE()</f>
        <v>0</v>
      </c>
      <c r="V184" s="72" t="str">
        <f t="shared" si="31"/>
        <v/>
      </c>
      <c r="W184" s="71" t="b">
        <f>FALSE()</f>
        <v>0</v>
      </c>
      <c r="X184" s="72" t="str">
        <f t="shared" si="33"/>
        <v/>
      </c>
      <c r="Y184" s="71" t="b">
        <f>FALSE()</f>
        <v>0</v>
      </c>
      <c r="Z184" s="54" t="s">
        <v>216</v>
      </c>
    </row>
    <row r="185" spans="1:26" ht="14" x14ac:dyDescent="0.3">
      <c r="A185" s="10">
        <v>183</v>
      </c>
      <c r="B185" s="49" t="s">
        <v>39</v>
      </c>
      <c r="C185" s="49" t="s">
        <v>166</v>
      </c>
      <c r="D185" s="91">
        <v>46204</v>
      </c>
      <c r="E185" s="91">
        <v>46234</v>
      </c>
      <c r="F185" s="35">
        <f t="shared" si="22"/>
        <v>31</v>
      </c>
      <c r="G185" s="67">
        <v>900</v>
      </c>
      <c r="H185" s="68">
        <v>1440</v>
      </c>
      <c r="I185" s="69">
        <f t="shared" si="32"/>
        <v>5.1612903225806452E-2</v>
      </c>
      <c r="J185" s="74" t="str">
        <f t="shared" si="24"/>
        <v/>
      </c>
      <c r="K185" s="71" t="b">
        <f>FALSE()</f>
        <v>0</v>
      </c>
      <c r="L185" s="72" t="str">
        <f t="shared" si="25"/>
        <v/>
      </c>
      <c r="M185" s="73" t="b">
        <f>FALSE()</f>
        <v>0</v>
      </c>
      <c r="N185" s="74" t="str">
        <f t="shared" si="26"/>
        <v/>
      </c>
      <c r="O185" s="71" t="b">
        <f>FALSE()</f>
        <v>0</v>
      </c>
      <c r="P185" s="76">
        <f t="shared" si="27"/>
        <v>5.1612903225806452E-2</v>
      </c>
      <c r="Q185" s="73" t="b">
        <f>TRUE()</f>
        <v>1</v>
      </c>
      <c r="R185" s="74" t="str">
        <f t="shared" si="28"/>
        <v/>
      </c>
      <c r="S185" s="71" t="b">
        <f>FALSE()</f>
        <v>0</v>
      </c>
      <c r="T185" s="72"/>
      <c r="U185" s="71" t="b">
        <f>TRUE()</f>
        <v>1</v>
      </c>
      <c r="V185" s="76">
        <f t="shared" ref="V185:V216" si="34">IF(W185=TRUE(),$I185,"")</f>
        <v>5.1612903225806452E-2</v>
      </c>
      <c r="W185" s="71" t="b">
        <f>TRUE()</f>
        <v>1</v>
      </c>
      <c r="X185" s="72" t="str">
        <f t="shared" si="33"/>
        <v/>
      </c>
      <c r="Y185" s="71" t="b">
        <f>FALSE()</f>
        <v>0</v>
      </c>
    </row>
    <row r="186" spans="1:26" ht="14" x14ac:dyDescent="0.3">
      <c r="A186" s="10">
        <v>184</v>
      </c>
      <c r="B186" s="49" t="s">
        <v>171</v>
      </c>
      <c r="C186" s="49" t="s">
        <v>57</v>
      </c>
      <c r="D186" s="91">
        <v>46204</v>
      </c>
      <c r="E186" s="91">
        <v>46234</v>
      </c>
      <c r="F186" s="35">
        <f t="shared" si="22"/>
        <v>31</v>
      </c>
      <c r="G186" s="67">
        <v>300</v>
      </c>
      <c r="H186" s="68">
        <v>810</v>
      </c>
      <c r="I186" s="69">
        <f t="shared" si="32"/>
        <v>8.7096774193548387E-2</v>
      </c>
      <c r="J186" s="74" t="str">
        <f t="shared" si="24"/>
        <v/>
      </c>
      <c r="K186" s="71" t="b">
        <f>FALSE()</f>
        <v>0</v>
      </c>
      <c r="L186" s="72" t="str">
        <f t="shared" si="25"/>
        <v/>
      </c>
      <c r="M186" s="73" t="b">
        <f>FALSE()</f>
        <v>0</v>
      </c>
      <c r="N186" s="74" t="str">
        <f t="shared" si="26"/>
        <v/>
      </c>
      <c r="O186" s="71" t="b">
        <f>FALSE()</f>
        <v>0</v>
      </c>
      <c r="P186" s="76">
        <f t="shared" si="27"/>
        <v>8.7096774193548387E-2</v>
      </c>
      <c r="Q186" s="73" t="b">
        <f>TRUE()</f>
        <v>1</v>
      </c>
      <c r="R186" s="74" t="str">
        <f t="shared" si="28"/>
        <v/>
      </c>
      <c r="S186" s="71" t="b">
        <f>FALSE()</f>
        <v>0</v>
      </c>
      <c r="T186" s="72"/>
      <c r="U186" s="71" t="b">
        <f>FALSE()</f>
        <v>0</v>
      </c>
      <c r="V186" s="72" t="str">
        <f t="shared" si="34"/>
        <v/>
      </c>
      <c r="W186" s="71" t="b">
        <f>FALSE()</f>
        <v>0</v>
      </c>
      <c r="X186" s="72" t="str">
        <f t="shared" si="33"/>
        <v/>
      </c>
      <c r="Y186" s="71" t="b">
        <f>FALSE()</f>
        <v>0</v>
      </c>
    </row>
    <row r="187" spans="1:26" ht="14" x14ac:dyDescent="0.3">
      <c r="A187" s="10">
        <v>185</v>
      </c>
      <c r="B187" s="27" t="s">
        <v>37</v>
      </c>
      <c r="C187" s="27" t="s">
        <v>69</v>
      </c>
      <c r="D187" s="84">
        <v>46204</v>
      </c>
      <c r="E187" s="84">
        <v>46218</v>
      </c>
      <c r="F187" s="13">
        <f t="shared" si="22"/>
        <v>15</v>
      </c>
      <c r="G187" s="13">
        <v>450</v>
      </c>
      <c r="H187" s="41">
        <v>337.5</v>
      </c>
      <c r="I187" s="52">
        <f t="shared" si="32"/>
        <v>0.05</v>
      </c>
      <c r="J187" s="17" t="str">
        <f t="shared" si="24"/>
        <v/>
      </c>
      <c r="K187" s="18" t="b">
        <f>FALSE()</f>
        <v>0</v>
      </c>
      <c r="L187" s="19" t="str">
        <f t="shared" si="25"/>
        <v/>
      </c>
      <c r="M187" s="19" t="b">
        <f>FALSE()</f>
        <v>0</v>
      </c>
      <c r="N187" s="17" t="str">
        <f t="shared" si="26"/>
        <v/>
      </c>
      <c r="O187" s="18" t="b">
        <f>FALSE()</f>
        <v>0</v>
      </c>
      <c r="P187" s="19" t="str">
        <f t="shared" si="27"/>
        <v/>
      </c>
      <c r="Q187" s="19" t="b">
        <f>FALSE()</f>
        <v>0</v>
      </c>
      <c r="R187" s="31">
        <f t="shared" si="28"/>
        <v>0.05</v>
      </c>
      <c r="S187" s="18" t="b">
        <f>TRUE()</f>
        <v>1</v>
      </c>
      <c r="T187" s="19"/>
      <c r="U187" s="18" t="b">
        <f>FALSE()</f>
        <v>0</v>
      </c>
      <c r="V187" s="72" t="str">
        <f t="shared" si="34"/>
        <v/>
      </c>
      <c r="W187" s="18" t="b">
        <f>FALSE()</f>
        <v>0</v>
      </c>
      <c r="X187" s="19" t="str">
        <f t="shared" si="33"/>
        <v/>
      </c>
      <c r="Y187" s="18" t="b">
        <f>FALSE()</f>
        <v>0</v>
      </c>
    </row>
    <row r="188" spans="1:26" ht="14" x14ac:dyDescent="0.3">
      <c r="A188" s="10">
        <v>186</v>
      </c>
      <c r="B188" s="27" t="s">
        <v>77</v>
      </c>
      <c r="C188" s="27" t="s">
        <v>57</v>
      </c>
      <c r="D188" s="84">
        <v>46206</v>
      </c>
      <c r="E188" s="84">
        <v>46222</v>
      </c>
      <c r="F188" s="13">
        <f t="shared" si="22"/>
        <v>17</v>
      </c>
      <c r="G188" s="13">
        <v>1350</v>
      </c>
      <c r="H188" s="41">
        <v>2677.5</v>
      </c>
      <c r="I188" s="52">
        <f t="shared" si="32"/>
        <v>0.11666666666666667</v>
      </c>
      <c r="J188" s="17" t="str">
        <f t="shared" si="24"/>
        <v/>
      </c>
      <c r="K188" s="18" t="b">
        <f>FALSE()</f>
        <v>0</v>
      </c>
      <c r="L188" s="19" t="str">
        <f t="shared" si="25"/>
        <v/>
      </c>
      <c r="M188" s="19" t="b">
        <f>FALSE()</f>
        <v>0</v>
      </c>
      <c r="N188" s="31">
        <f t="shared" si="26"/>
        <v>0.11666666666666667</v>
      </c>
      <c r="O188" s="18" t="b">
        <f>TRUE()</f>
        <v>1</v>
      </c>
      <c r="P188" s="29">
        <f t="shared" si="27"/>
        <v>0.11666666666666667</v>
      </c>
      <c r="Q188" s="19" t="b">
        <f>TRUE()</f>
        <v>1</v>
      </c>
      <c r="R188" s="17" t="str">
        <f t="shared" si="28"/>
        <v/>
      </c>
      <c r="S188" s="18" t="b">
        <f>FALSE()</f>
        <v>0</v>
      </c>
      <c r="T188" s="19">
        <v>0.12</v>
      </c>
      <c r="U188" s="18" t="b">
        <f>TRUE()</f>
        <v>1</v>
      </c>
      <c r="V188" s="72" t="str">
        <f t="shared" si="34"/>
        <v/>
      </c>
      <c r="W188" s="18" t="b">
        <f>FALSE()</f>
        <v>0</v>
      </c>
      <c r="X188" s="19" t="str">
        <f t="shared" si="33"/>
        <v/>
      </c>
      <c r="Y188" s="18" t="b">
        <f>FALSE()</f>
        <v>0</v>
      </c>
    </row>
    <row r="189" spans="1:26" ht="14" x14ac:dyDescent="0.3">
      <c r="A189" s="10">
        <v>187</v>
      </c>
      <c r="B189" s="49" t="s">
        <v>202</v>
      </c>
      <c r="C189" s="49" t="s">
        <v>57</v>
      </c>
      <c r="D189" s="91">
        <v>46205</v>
      </c>
      <c r="E189" s="91">
        <v>46235</v>
      </c>
      <c r="F189" s="35">
        <f t="shared" si="22"/>
        <v>31</v>
      </c>
      <c r="G189" s="67">
        <v>2250</v>
      </c>
      <c r="H189" s="68">
        <v>3529.4</v>
      </c>
      <c r="I189" s="69">
        <f t="shared" si="32"/>
        <v>5.0600716845878135E-2</v>
      </c>
      <c r="J189" s="74" t="str">
        <f t="shared" si="24"/>
        <v/>
      </c>
      <c r="K189" s="71" t="b">
        <f>FALSE()</f>
        <v>0</v>
      </c>
      <c r="L189" s="77">
        <f t="shared" si="25"/>
        <v>5.0600716845878135E-2</v>
      </c>
      <c r="M189" s="73" t="b">
        <f>TRUE()</f>
        <v>1</v>
      </c>
      <c r="N189" s="78">
        <f t="shared" si="26"/>
        <v>5.0600716845878135E-2</v>
      </c>
      <c r="O189" s="71" t="b">
        <f>TRUE()</f>
        <v>1</v>
      </c>
      <c r="P189" s="77">
        <f t="shared" si="27"/>
        <v>5.0600716845878135E-2</v>
      </c>
      <c r="Q189" s="73" t="b">
        <f>TRUE()</f>
        <v>1</v>
      </c>
      <c r="R189" s="78">
        <f t="shared" si="28"/>
        <v>5.0600716845878135E-2</v>
      </c>
      <c r="S189" s="79" t="b">
        <f>TRUE()</f>
        <v>1</v>
      </c>
      <c r="T189" s="72">
        <v>0.05</v>
      </c>
      <c r="U189" s="71" t="b">
        <f>TRUE()</f>
        <v>1</v>
      </c>
      <c r="V189" s="72" t="str">
        <f t="shared" si="34"/>
        <v/>
      </c>
      <c r="W189" s="71" t="b">
        <f>FALSE()</f>
        <v>0</v>
      </c>
      <c r="X189" s="72" t="str">
        <f t="shared" si="33"/>
        <v/>
      </c>
      <c r="Y189" s="71" t="b">
        <f>FALSE()</f>
        <v>0</v>
      </c>
    </row>
    <row r="190" spans="1:26" ht="14" x14ac:dyDescent="0.3">
      <c r="A190" s="10">
        <v>188</v>
      </c>
      <c r="B190" s="49" t="s">
        <v>159</v>
      </c>
      <c r="C190" s="49" t="s">
        <v>57</v>
      </c>
      <c r="D190" s="91">
        <v>46204</v>
      </c>
      <c r="E190" s="91">
        <v>46234</v>
      </c>
      <c r="F190" s="35">
        <f t="shared" si="22"/>
        <v>31</v>
      </c>
      <c r="G190" s="67">
        <v>900</v>
      </c>
      <c r="H190" s="68">
        <v>1620</v>
      </c>
      <c r="I190" s="69">
        <f t="shared" si="32"/>
        <v>5.8064516129032261E-2</v>
      </c>
      <c r="J190" s="74" t="str">
        <f t="shared" si="24"/>
        <v/>
      </c>
      <c r="K190" s="71" t="b">
        <f>FALSE()</f>
        <v>0</v>
      </c>
      <c r="L190" s="77">
        <f t="shared" si="25"/>
        <v>5.8064516129032261E-2</v>
      </c>
      <c r="M190" s="73" t="b">
        <f>TRUE()</f>
        <v>1</v>
      </c>
      <c r="N190" s="74" t="str">
        <f t="shared" si="26"/>
        <v/>
      </c>
      <c r="O190" s="71" t="b">
        <f>FALSE()</f>
        <v>0</v>
      </c>
      <c r="P190" s="72" t="str">
        <f t="shared" si="27"/>
        <v/>
      </c>
      <c r="Q190" s="73" t="b">
        <f>FALSE()</f>
        <v>0</v>
      </c>
      <c r="R190" s="78">
        <f t="shared" si="28"/>
        <v>5.8064516129032261E-2</v>
      </c>
      <c r="S190" s="79" t="b">
        <f>TRUE()</f>
        <v>1</v>
      </c>
      <c r="T190" s="72">
        <v>0.06</v>
      </c>
      <c r="U190" s="71" t="b">
        <f>FALSE()</f>
        <v>0</v>
      </c>
      <c r="V190" s="72" t="str">
        <f t="shared" si="34"/>
        <v/>
      </c>
      <c r="W190" s="71" t="b">
        <f>FALSE()</f>
        <v>0</v>
      </c>
      <c r="X190" s="72" t="str">
        <f t="shared" si="33"/>
        <v/>
      </c>
      <c r="Y190" s="71" t="b">
        <f>FALSE()</f>
        <v>0</v>
      </c>
    </row>
    <row r="191" spans="1:26" ht="14" x14ac:dyDescent="0.3">
      <c r="A191" s="10">
        <v>189</v>
      </c>
      <c r="B191" s="49" t="s">
        <v>51</v>
      </c>
      <c r="C191" s="49" t="s">
        <v>166</v>
      </c>
      <c r="D191" s="91">
        <v>46221</v>
      </c>
      <c r="E191" s="91">
        <v>46251</v>
      </c>
      <c r="F191" s="35">
        <f t="shared" si="22"/>
        <v>31</v>
      </c>
      <c r="G191" s="67">
        <v>300</v>
      </c>
      <c r="H191" s="68">
        <v>550</v>
      </c>
      <c r="I191" s="69">
        <f t="shared" si="32"/>
        <v>5.9139784946236562E-2</v>
      </c>
      <c r="J191" s="74" t="str">
        <f t="shared" si="24"/>
        <v/>
      </c>
      <c r="K191" s="71" t="b">
        <f>FALSE()</f>
        <v>0</v>
      </c>
      <c r="L191" s="72" t="str">
        <f t="shared" si="25"/>
        <v/>
      </c>
      <c r="M191" s="73" t="b">
        <f>FALSE()</f>
        <v>0</v>
      </c>
      <c r="N191" s="74" t="str">
        <f t="shared" si="26"/>
        <v/>
      </c>
      <c r="O191" s="71" t="b">
        <f>FALSE()</f>
        <v>0</v>
      </c>
      <c r="P191" s="77">
        <f t="shared" si="27"/>
        <v>5.9139784946236562E-2</v>
      </c>
      <c r="Q191" s="73" t="b">
        <f>TRUE()</f>
        <v>1</v>
      </c>
      <c r="R191" s="74" t="str">
        <f t="shared" si="28"/>
        <v/>
      </c>
      <c r="S191" s="71" t="b">
        <f>FALSE()</f>
        <v>0</v>
      </c>
      <c r="T191" s="72"/>
      <c r="U191" s="71" t="b">
        <f>FALSE()</f>
        <v>0</v>
      </c>
      <c r="V191" s="72" t="str">
        <f t="shared" si="34"/>
        <v/>
      </c>
      <c r="W191" s="71" t="b">
        <f>FALSE()</f>
        <v>0</v>
      </c>
      <c r="X191" s="72" t="str">
        <f t="shared" si="33"/>
        <v/>
      </c>
      <c r="Y191" s="71" t="b">
        <f>FALSE()</f>
        <v>0</v>
      </c>
    </row>
    <row r="192" spans="1:26" ht="14" x14ac:dyDescent="0.3">
      <c r="A192" s="10">
        <v>190</v>
      </c>
      <c r="B192" s="49" t="s">
        <v>155</v>
      </c>
      <c r="C192" s="49" t="s">
        <v>218</v>
      </c>
      <c r="D192" s="91">
        <v>46209</v>
      </c>
      <c r="E192" s="91">
        <v>46223</v>
      </c>
      <c r="F192" s="35">
        <f t="shared" si="22"/>
        <v>15</v>
      </c>
      <c r="G192" s="67">
        <v>450</v>
      </c>
      <c r="H192" s="68">
        <v>300</v>
      </c>
      <c r="I192" s="69">
        <f t="shared" si="32"/>
        <v>4.4444444444444446E-2</v>
      </c>
      <c r="J192" s="74" t="str">
        <f t="shared" si="24"/>
        <v/>
      </c>
      <c r="K192" s="71" t="b">
        <f>FALSE()</f>
        <v>0</v>
      </c>
      <c r="L192" s="72" t="str">
        <f t="shared" si="25"/>
        <v/>
      </c>
      <c r="M192" s="73" t="b">
        <f>FALSE()</f>
        <v>0</v>
      </c>
      <c r="N192" s="74" t="str">
        <f t="shared" si="26"/>
        <v/>
      </c>
      <c r="O192" s="71" t="b">
        <f>FALSE()</f>
        <v>0</v>
      </c>
      <c r="P192" s="72" t="str">
        <f t="shared" si="27"/>
        <v/>
      </c>
      <c r="Q192" s="73" t="b">
        <f>FALSE()</f>
        <v>0</v>
      </c>
      <c r="R192" s="78">
        <f t="shared" si="28"/>
        <v>4.4444444444444446E-2</v>
      </c>
      <c r="S192" s="71" t="b">
        <f>TRUE()</f>
        <v>1</v>
      </c>
      <c r="T192" s="72"/>
      <c r="U192" s="71" t="b">
        <f>FALSE()</f>
        <v>0</v>
      </c>
      <c r="V192" s="72" t="str">
        <f t="shared" si="34"/>
        <v/>
      </c>
      <c r="W192" s="71" t="b">
        <f>FALSE()</f>
        <v>0</v>
      </c>
      <c r="X192" s="72" t="str">
        <f t="shared" si="33"/>
        <v/>
      </c>
      <c r="Y192" s="71" t="b">
        <f>FALSE()</f>
        <v>0</v>
      </c>
    </row>
    <row r="193" spans="1:26" ht="14" x14ac:dyDescent="0.3">
      <c r="A193" s="10">
        <v>191</v>
      </c>
      <c r="B193" s="49" t="s">
        <v>110</v>
      </c>
      <c r="C193" s="49" t="s">
        <v>178</v>
      </c>
      <c r="D193" s="91">
        <v>46210</v>
      </c>
      <c r="E193" s="91">
        <v>46224</v>
      </c>
      <c r="F193" s="35">
        <f t="shared" si="22"/>
        <v>15</v>
      </c>
      <c r="G193" s="67">
        <v>900</v>
      </c>
      <c r="H193" s="68">
        <v>742.5</v>
      </c>
      <c r="I193" s="69">
        <f t="shared" ref="I193:I224" si="35">IFERROR(H193/(F193*G193),"")</f>
        <v>5.5E-2</v>
      </c>
      <c r="J193" s="78">
        <f t="shared" si="24"/>
        <v>5.5E-2</v>
      </c>
      <c r="K193" s="71" t="b">
        <f>TRUE()</f>
        <v>1</v>
      </c>
      <c r="L193" s="72" t="str">
        <f t="shared" si="25"/>
        <v/>
      </c>
      <c r="M193" s="73" t="b">
        <f>FALSE()</f>
        <v>0</v>
      </c>
      <c r="N193" s="78">
        <f t="shared" si="26"/>
        <v>5.5E-2</v>
      </c>
      <c r="O193" s="71" t="b">
        <f>TRUE()</f>
        <v>1</v>
      </c>
      <c r="P193" s="72" t="str">
        <f t="shared" si="27"/>
        <v/>
      </c>
      <c r="Q193" s="73" t="b">
        <f>FALSE()</f>
        <v>0</v>
      </c>
      <c r="R193" s="74" t="str">
        <f t="shared" si="28"/>
        <v/>
      </c>
      <c r="S193" s="71" t="b">
        <f>FALSE()</f>
        <v>0</v>
      </c>
      <c r="T193" s="72"/>
      <c r="U193" s="71" t="b">
        <f>FALSE()</f>
        <v>0</v>
      </c>
      <c r="V193" s="72" t="str">
        <f t="shared" si="34"/>
        <v/>
      </c>
      <c r="W193" s="71" t="b">
        <f>FALSE()</f>
        <v>0</v>
      </c>
      <c r="X193" s="72" t="str">
        <f t="shared" si="33"/>
        <v/>
      </c>
      <c r="Y193" s="71" t="b">
        <f>FALSE()</f>
        <v>0</v>
      </c>
    </row>
    <row r="194" spans="1:26" ht="14" x14ac:dyDescent="0.3">
      <c r="A194" s="10">
        <v>192</v>
      </c>
      <c r="B194" s="49" t="s">
        <v>219</v>
      </c>
      <c r="C194" s="49" t="s">
        <v>220</v>
      </c>
      <c r="D194" s="91">
        <v>46205</v>
      </c>
      <c r="E194" s="91">
        <v>46235</v>
      </c>
      <c r="F194" s="35">
        <f t="shared" si="22"/>
        <v>31</v>
      </c>
      <c r="G194" s="67">
        <v>2250</v>
      </c>
      <c r="H194" s="68">
        <v>3529.4</v>
      </c>
      <c r="I194" s="69">
        <f t="shared" si="35"/>
        <v>5.0600716845878135E-2</v>
      </c>
      <c r="J194" s="74" t="str">
        <f t="shared" si="24"/>
        <v/>
      </c>
      <c r="K194" s="71" t="b">
        <f>FALSE()</f>
        <v>0</v>
      </c>
      <c r="L194" s="76">
        <f t="shared" si="25"/>
        <v>5.0600716845878135E-2</v>
      </c>
      <c r="M194" s="73" t="b">
        <f>TRUE()</f>
        <v>1</v>
      </c>
      <c r="N194" s="70">
        <f t="shared" si="26"/>
        <v>5.0600716845878135E-2</v>
      </c>
      <c r="O194" s="71" t="b">
        <f>TRUE()</f>
        <v>1</v>
      </c>
      <c r="P194" s="76">
        <f t="shared" si="27"/>
        <v>5.0600716845878135E-2</v>
      </c>
      <c r="Q194" s="73" t="b">
        <f>TRUE()</f>
        <v>1</v>
      </c>
      <c r="R194" s="70">
        <f t="shared" si="28"/>
        <v>5.0600716845878135E-2</v>
      </c>
      <c r="S194" s="71" t="b">
        <f>TRUE()</f>
        <v>1</v>
      </c>
      <c r="T194" s="72">
        <v>0.05</v>
      </c>
      <c r="U194" s="71" t="b">
        <f>TRUE()</f>
        <v>1</v>
      </c>
      <c r="V194" s="72" t="str">
        <f t="shared" si="34"/>
        <v/>
      </c>
      <c r="W194" s="71" t="b">
        <f>FALSE()</f>
        <v>0</v>
      </c>
      <c r="X194" s="72" t="str">
        <f t="shared" si="33"/>
        <v/>
      </c>
      <c r="Y194" s="71" t="b">
        <f>FALSE()</f>
        <v>0</v>
      </c>
    </row>
    <row r="195" spans="1:26" ht="14" x14ac:dyDescent="0.3">
      <c r="A195" s="10">
        <v>193</v>
      </c>
      <c r="B195" s="49" t="s">
        <v>199</v>
      </c>
      <c r="C195" s="49" t="s">
        <v>57</v>
      </c>
      <c r="D195" s="91">
        <v>46204</v>
      </c>
      <c r="E195" s="91">
        <v>46234</v>
      </c>
      <c r="F195" s="35">
        <f t="shared" si="22"/>
        <v>31</v>
      </c>
      <c r="G195" s="67">
        <v>900</v>
      </c>
      <c r="H195" s="68">
        <v>1620</v>
      </c>
      <c r="I195" s="69">
        <f t="shared" si="35"/>
        <v>5.8064516129032261E-2</v>
      </c>
      <c r="J195" s="74" t="str">
        <f t="shared" si="24"/>
        <v/>
      </c>
      <c r="K195" s="71" t="b">
        <f>FALSE()</f>
        <v>0</v>
      </c>
      <c r="L195" s="76">
        <f t="shared" si="25"/>
        <v>5.8064516129032261E-2</v>
      </c>
      <c r="M195" s="73" t="b">
        <f>TRUE()</f>
        <v>1</v>
      </c>
      <c r="N195" s="74" t="str">
        <f t="shared" si="26"/>
        <v/>
      </c>
      <c r="O195" s="71" t="b">
        <f>FALSE()</f>
        <v>0</v>
      </c>
      <c r="P195" s="72" t="str">
        <f t="shared" si="27"/>
        <v/>
      </c>
      <c r="Q195" s="73" t="b">
        <f>FALSE()</f>
        <v>0</v>
      </c>
      <c r="R195" s="70">
        <f t="shared" si="28"/>
        <v>5.8064516129032261E-2</v>
      </c>
      <c r="S195" s="71" t="b">
        <f>TRUE()</f>
        <v>1</v>
      </c>
      <c r="T195" s="72"/>
      <c r="U195" s="71" t="b">
        <f>FALSE()</f>
        <v>0</v>
      </c>
      <c r="V195" s="72" t="str">
        <f t="shared" si="34"/>
        <v/>
      </c>
      <c r="W195" s="71" t="b">
        <f>FALSE()</f>
        <v>0</v>
      </c>
      <c r="X195" s="72" t="str">
        <f t="shared" si="33"/>
        <v/>
      </c>
      <c r="Y195" s="71" t="b">
        <f>FALSE()</f>
        <v>0</v>
      </c>
    </row>
    <row r="196" spans="1:26" ht="14" x14ac:dyDescent="0.3">
      <c r="A196" s="10">
        <v>194</v>
      </c>
      <c r="B196" s="49" t="s">
        <v>221</v>
      </c>
      <c r="C196" s="49" t="s">
        <v>79</v>
      </c>
      <c r="D196" s="91">
        <v>46212</v>
      </c>
      <c r="E196" s="91">
        <v>46223</v>
      </c>
      <c r="F196" s="35">
        <f t="shared" ref="F196:F259" si="36">(E196-D196)+1</f>
        <v>12</v>
      </c>
      <c r="G196" s="67">
        <v>1800</v>
      </c>
      <c r="H196" s="68">
        <v>1400</v>
      </c>
      <c r="I196" s="69">
        <f t="shared" si="35"/>
        <v>6.4814814814814811E-2</v>
      </c>
      <c r="J196" s="74" t="str">
        <f t="shared" si="24"/>
        <v/>
      </c>
      <c r="K196" s="71" t="b">
        <f>FALSE()</f>
        <v>0</v>
      </c>
      <c r="L196" s="72" t="str">
        <f t="shared" si="25"/>
        <v/>
      </c>
      <c r="M196" s="73" t="b">
        <f>FALSE()</f>
        <v>0</v>
      </c>
      <c r="N196" s="70">
        <f t="shared" si="26"/>
        <v>6.4814814814814811E-2</v>
      </c>
      <c r="O196" s="71" t="b">
        <f>TRUE()</f>
        <v>1</v>
      </c>
      <c r="P196" s="76">
        <f t="shared" si="27"/>
        <v>6.4814814814814811E-2</v>
      </c>
      <c r="Q196" s="73" t="b">
        <f>TRUE()</f>
        <v>1</v>
      </c>
      <c r="R196" s="70">
        <f t="shared" si="28"/>
        <v>6.4814814814814811E-2</v>
      </c>
      <c r="S196" s="71" t="b">
        <f>TRUE()</f>
        <v>1</v>
      </c>
      <c r="T196" s="72">
        <v>0.06</v>
      </c>
      <c r="U196" s="71" t="b">
        <f>TRUE()</f>
        <v>1</v>
      </c>
      <c r="V196" s="72" t="str">
        <f t="shared" si="34"/>
        <v/>
      </c>
      <c r="W196" s="71" t="b">
        <f>FALSE()</f>
        <v>0</v>
      </c>
      <c r="X196" s="72" t="str">
        <f t="shared" si="33"/>
        <v/>
      </c>
      <c r="Y196" s="71" t="b">
        <f>FALSE()</f>
        <v>0</v>
      </c>
    </row>
    <row r="197" spans="1:26" ht="14" x14ac:dyDescent="0.3">
      <c r="A197" s="10">
        <v>195</v>
      </c>
      <c r="B197" s="49" t="s">
        <v>222</v>
      </c>
      <c r="C197" s="49" t="s">
        <v>57</v>
      </c>
      <c r="D197" s="91">
        <v>46218</v>
      </c>
      <c r="E197" s="91">
        <v>46222</v>
      </c>
      <c r="F197" s="35">
        <f t="shared" si="36"/>
        <v>5</v>
      </c>
      <c r="G197" s="67">
        <v>450</v>
      </c>
      <c r="H197" s="68">
        <v>112.5</v>
      </c>
      <c r="I197" s="69">
        <f t="shared" si="35"/>
        <v>0.05</v>
      </c>
      <c r="J197" s="74" t="str">
        <f t="shared" ref="J197:J260" si="37">IF(K197=TRUE(),$I197,"")</f>
        <v/>
      </c>
      <c r="K197" s="71" t="b">
        <f>FALSE()</f>
        <v>0</v>
      </c>
      <c r="L197" s="72" t="str">
        <f t="shared" ref="L197:L260" si="38">IF(M197=TRUE(),$I197,"")</f>
        <v/>
      </c>
      <c r="M197" s="73" t="b">
        <f>FALSE()</f>
        <v>0</v>
      </c>
      <c r="N197" s="74" t="str">
        <f t="shared" ref="N197:N260" si="39">IF(O197=TRUE(),$I197,"")</f>
        <v/>
      </c>
      <c r="O197" s="71" t="b">
        <f>FALSE()</f>
        <v>0</v>
      </c>
      <c r="P197" s="76">
        <f t="shared" ref="P197:P260" si="40">IF(Q197=TRUE(),$I197,"")</f>
        <v>0.05</v>
      </c>
      <c r="Q197" s="73" t="b">
        <f>TRUE()</f>
        <v>1</v>
      </c>
      <c r="R197" s="74" t="str">
        <f t="shared" ref="R197:R260" si="41">IF(S197=TRUE(),$I197,"")</f>
        <v/>
      </c>
      <c r="S197" s="71" t="b">
        <f>FALSE()</f>
        <v>0</v>
      </c>
      <c r="T197" s="72"/>
      <c r="U197" s="71" t="b">
        <f>FALSE()</f>
        <v>0</v>
      </c>
      <c r="V197" s="72" t="str">
        <f t="shared" si="34"/>
        <v/>
      </c>
      <c r="W197" s="71" t="b">
        <f>FALSE()</f>
        <v>0</v>
      </c>
      <c r="X197" s="72" t="str">
        <f t="shared" si="33"/>
        <v/>
      </c>
      <c r="Y197" s="71" t="b">
        <f>FALSE()</f>
        <v>0</v>
      </c>
    </row>
    <row r="198" spans="1:26" ht="14" x14ac:dyDescent="0.3">
      <c r="A198" s="10">
        <v>196</v>
      </c>
      <c r="B198" s="49" t="s">
        <v>223</v>
      </c>
      <c r="C198" s="49" t="s">
        <v>57</v>
      </c>
      <c r="D198" s="91">
        <v>46217</v>
      </c>
      <c r="E198" s="91">
        <v>46234</v>
      </c>
      <c r="F198" s="35">
        <f t="shared" si="36"/>
        <v>18</v>
      </c>
      <c r="G198" s="67">
        <v>1350</v>
      </c>
      <c r="H198" s="68">
        <v>825</v>
      </c>
      <c r="I198" s="69">
        <f t="shared" si="35"/>
        <v>3.3950617283950615E-2</v>
      </c>
      <c r="J198" s="70">
        <f t="shared" si="37"/>
        <v>3.3950617283950615E-2</v>
      </c>
      <c r="K198" s="71" t="b">
        <f>TRUE()</f>
        <v>1</v>
      </c>
      <c r="L198" s="72" t="str">
        <f t="shared" si="38"/>
        <v/>
      </c>
      <c r="M198" s="73" t="b">
        <f>FALSE()</f>
        <v>0</v>
      </c>
      <c r="N198" s="70">
        <f t="shared" si="39"/>
        <v>3.3950617283950615E-2</v>
      </c>
      <c r="O198" s="71" t="b">
        <f>TRUE()</f>
        <v>1</v>
      </c>
      <c r="P198" s="72" t="str">
        <f t="shared" si="40"/>
        <v/>
      </c>
      <c r="Q198" s="73" t="b">
        <f>FALSE()</f>
        <v>0</v>
      </c>
      <c r="R198" s="74" t="str">
        <f t="shared" si="41"/>
        <v/>
      </c>
      <c r="S198" s="71" t="b">
        <f>FALSE()</f>
        <v>0</v>
      </c>
      <c r="T198" s="72"/>
      <c r="U198" s="71" t="b">
        <f>FALSE()</f>
        <v>0</v>
      </c>
      <c r="V198" s="72" t="str">
        <f t="shared" si="34"/>
        <v/>
      </c>
      <c r="W198" s="71" t="b">
        <f>FALSE()</f>
        <v>0</v>
      </c>
      <c r="X198" s="76">
        <f t="shared" si="33"/>
        <v>3.3950617283950615E-2</v>
      </c>
      <c r="Y198" s="71" t="b">
        <f>TRUE()</f>
        <v>1</v>
      </c>
      <c r="Z198" s="54" t="s">
        <v>184</v>
      </c>
    </row>
    <row r="199" spans="1:26" ht="14" x14ac:dyDescent="0.3">
      <c r="A199" s="10">
        <v>197</v>
      </c>
      <c r="B199" s="49" t="s">
        <v>223</v>
      </c>
      <c r="C199" s="49" t="s">
        <v>57</v>
      </c>
      <c r="D199" s="91">
        <v>46235</v>
      </c>
      <c r="E199" s="91">
        <v>46387</v>
      </c>
      <c r="F199" s="35">
        <f t="shared" si="36"/>
        <v>153</v>
      </c>
      <c r="G199" s="67">
        <v>1350</v>
      </c>
      <c r="H199" s="68">
        <v>8250</v>
      </c>
      <c r="I199" s="69">
        <f t="shared" si="35"/>
        <v>3.9941902687000728E-2</v>
      </c>
      <c r="J199" s="70">
        <f t="shared" si="37"/>
        <v>3.9941902687000728E-2</v>
      </c>
      <c r="K199" s="71" t="b">
        <f>TRUE()</f>
        <v>1</v>
      </c>
      <c r="L199" s="72" t="str">
        <f t="shared" si="38"/>
        <v/>
      </c>
      <c r="M199" s="73" t="b">
        <f>FALSE()</f>
        <v>0</v>
      </c>
      <c r="N199" s="70">
        <f t="shared" si="39"/>
        <v>3.9941902687000728E-2</v>
      </c>
      <c r="O199" s="71" t="b">
        <f>TRUE()</f>
        <v>1</v>
      </c>
      <c r="P199" s="72" t="str">
        <f t="shared" si="40"/>
        <v/>
      </c>
      <c r="Q199" s="73" t="b">
        <f>FALSE()</f>
        <v>0</v>
      </c>
      <c r="R199" s="74" t="str">
        <f t="shared" si="41"/>
        <v/>
      </c>
      <c r="S199" s="71" t="b">
        <f>FALSE()</f>
        <v>0</v>
      </c>
      <c r="T199" s="72"/>
      <c r="U199" s="71" t="b">
        <f>FALSE()</f>
        <v>0</v>
      </c>
      <c r="V199" s="72" t="str">
        <f t="shared" si="34"/>
        <v/>
      </c>
      <c r="W199" s="71" t="b">
        <f>FALSE()</f>
        <v>0</v>
      </c>
      <c r="X199" s="76">
        <f t="shared" si="33"/>
        <v>3.9941902687000728E-2</v>
      </c>
      <c r="Y199" s="71" t="b">
        <f>TRUE()</f>
        <v>1</v>
      </c>
    </row>
    <row r="200" spans="1:26" ht="14" x14ac:dyDescent="0.3">
      <c r="A200" s="10">
        <v>198</v>
      </c>
      <c r="B200" s="49" t="s">
        <v>224</v>
      </c>
      <c r="C200" s="49" t="s">
        <v>57</v>
      </c>
      <c r="D200" s="91">
        <v>46224</v>
      </c>
      <c r="E200" s="91">
        <v>46253</v>
      </c>
      <c r="F200" s="35">
        <f t="shared" si="36"/>
        <v>30</v>
      </c>
      <c r="G200" s="67">
        <v>1800</v>
      </c>
      <c r="H200" s="68">
        <v>3500</v>
      </c>
      <c r="I200" s="69">
        <f t="shared" si="35"/>
        <v>6.4814814814814811E-2</v>
      </c>
      <c r="J200" s="74" t="str">
        <f t="shared" si="37"/>
        <v/>
      </c>
      <c r="K200" s="71" t="b">
        <f>FALSE()</f>
        <v>0</v>
      </c>
      <c r="L200" s="72" t="str">
        <f t="shared" si="38"/>
        <v/>
      </c>
      <c r="M200" s="73" t="b">
        <f>FALSE()</f>
        <v>0</v>
      </c>
      <c r="N200" s="70">
        <f t="shared" si="39"/>
        <v>6.4814814814814811E-2</v>
      </c>
      <c r="O200" s="71" t="b">
        <f>TRUE()</f>
        <v>1</v>
      </c>
      <c r="P200" s="76">
        <f t="shared" si="40"/>
        <v>6.4814814814814811E-2</v>
      </c>
      <c r="Q200" s="73" t="b">
        <f>TRUE()</f>
        <v>1</v>
      </c>
      <c r="R200" s="70">
        <f t="shared" si="41"/>
        <v>6.4814814814814811E-2</v>
      </c>
      <c r="S200" s="71" t="b">
        <f>TRUE()</f>
        <v>1</v>
      </c>
      <c r="T200" s="72">
        <v>0.06</v>
      </c>
      <c r="U200" s="71" t="b">
        <f>TRUE()</f>
        <v>1</v>
      </c>
      <c r="V200" s="72" t="str">
        <f t="shared" si="34"/>
        <v/>
      </c>
      <c r="W200" s="71" t="b">
        <f>FALSE()</f>
        <v>0</v>
      </c>
      <c r="X200" s="72" t="str">
        <f t="shared" si="33"/>
        <v/>
      </c>
      <c r="Y200" s="71" t="b">
        <f>FALSE()</f>
        <v>0</v>
      </c>
    </row>
    <row r="201" spans="1:26" ht="14" x14ac:dyDescent="0.3">
      <c r="A201" s="10">
        <v>199</v>
      </c>
      <c r="B201" s="49" t="s">
        <v>225</v>
      </c>
      <c r="C201" s="49" t="s">
        <v>57</v>
      </c>
      <c r="D201" s="91">
        <v>46225</v>
      </c>
      <c r="E201" s="91">
        <v>46255</v>
      </c>
      <c r="F201" s="35">
        <f t="shared" si="36"/>
        <v>31</v>
      </c>
      <c r="G201" s="67">
        <v>900</v>
      </c>
      <c r="H201" s="68">
        <v>1620</v>
      </c>
      <c r="I201" s="69">
        <f t="shared" si="35"/>
        <v>5.8064516129032261E-2</v>
      </c>
      <c r="J201" s="74" t="str">
        <f t="shared" si="37"/>
        <v/>
      </c>
      <c r="K201" s="71" t="b">
        <f>FALSE()</f>
        <v>0</v>
      </c>
      <c r="L201" s="72" t="str">
        <f t="shared" si="38"/>
        <v/>
      </c>
      <c r="M201" s="73" t="b">
        <f>FALSE()</f>
        <v>0</v>
      </c>
      <c r="N201" s="70">
        <f t="shared" si="39"/>
        <v>5.8064516129032261E-2</v>
      </c>
      <c r="O201" s="71" t="b">
        <f>TRUE()</f>
        <v>1</v>
      </c>
      <c r="P201" s="72" t="str">
        <f t="shared" si="40"/>
        <v/>
      </c>
      <c r="Q201" s="73" t="b">
        <f>FALSE()</f>
        <v>0</v>
      </c>
      <c r="R201" s="70">
        <f t="shared" si="41"/>
        <v>5.8064516129032261E-2</v>
      </c>
      <c r="S201" s="71" t="b">
        <f>TRUE()</f>
        <v>1</v>
      </c>
      <c r="T201" s="72"/>
      <c r="U201" s="71" t="b">
        <f>FALSE()</f>
        <v>0</v>
      </c>
      <c r="V201" s="72" t="str">
        <f t="shared" si="34"/>
        <v/>
      </c>
      <c r="W201" s="71" t="b">
        <f>FALSE()</f>
        <v>0</v>
      </c>
      <c r="X201" s="72" t="str">
        <f t="shared" si="33"/>
        <v/>
      </c>
      <c r="Y201" s="71" t="b">
        <f>FALSE()</f>
        <v>0</v>
      </c>
    </row>
    <row r="202" spans="1:26" ht="14" x14ac:dyDescent="0.3">
      <c r="A202" s="10">
        <v>200</v>
      </c>
      <c r="B202" s="49" t="s">
        <v>62</v>
      </c>
      <c r="C202" s="49" t="s">
        <v>226</v>
      </c>
      <c r="D202" s="91">
        <v>46225</v>
      </c>
      <c r="E202" s="91">
        <v>46240</v>
      </c>
      <c r="F202" s="35">
        <f t="shared" si="36"/>
        <v>16</v>
      </c>
      <c r="G202" s="67">
        <v>2400</v>
      </c>
      <c r="H202" s="68">
        <v>0</v>
      </c>
      <c r="I202" s="69">
        <f t="shared" si="35"/>
        <v>0</v>
      </c>
      <c r="J202" s="70">
        <f t="shared" si="37"/>
        <v>0</v>
      </c>
      <c r="K202" s="71" t="b">
        <f>TRUE()</f>
        <v>1</v>
      </c>
      <c r="L202" s="76">
        <f t="shared" si="38"/>
        <v>0</v>
      </c>
      <c r="M202" s="73" t="b">
        <f>TRUE()</f>
        <v>1</v>
      </c>
      <c r="N202" s="70">
        <f t="shared" si="39"/>
        <v>0</v>
      </c>
      <c r="O202" s="71" t="b">
        <f>TRUE()</f>
        <v>1</v>
      </c>
      <c r="P202" s="76">
        <f t="shared" si="40"/>
        <v>0</v>
      </c>
      <c r="Q202" s="73" t="b">
        <f>TRUE()</f>
        <v>1</v>
      </c>
      <c r="R202" s="70">
        <f t="shared" si="41"/>
        <v>0</v>
      </c>
      <c r="S202" s="71" t="b">
        <f>TRUE()</f>
        <v>1</v>
      </c>
      <c r="T202" s="72"/>
      <c r="U202" s="71" t="b">
        <f>TRUE()</f>
        <v>1</v>
      </c>
      <c r="V202" s="76">
        <f t="shared" si="34"/>
        <v>0</v>
      </c>
      <c r="W202" s="71" t="b">
        <f>TRUE()</f>
        <v>1</v>
      </c>
      <c r="X202" s="76">
        <f t="shared" si="33"/>
        <v>0</v>
      </c>
      <c r="Y202" s="71" t="b">
        <f>TRUE()</f>
        <v>1</v>
      </c>
      <c r="Z202" s="54" t="s">
        <v>227</v>
      </c>
    </row>
    <row r="203" spans="1:26" ht="14" x14ac:dyDescent="0.3">
      <c r="A203" s="10">
        <v>201</v>
      </c>
      <c r="B203" s="49" t="s">
        <v>228</v>
      </c>
      <c r="C203" s="49" t="s">
        <v>229</v>
      </c>
      <c r="D203" s="91"/>
      <c r="E203" s="91"/>
      <c r="F203" s="35">
        <f t="shared" si="36"/>
        <v>1</v>
      </c>
      <c r="G203" s="67">
        <v>2400</v>
      </c>
      <c r="H203" s="68">
        <v>0</v>
      </c>
      <c r="I203" s="69">
        <f t="shared" si="35"/>
        <v>0</v>
      </c>
      <c r="J203" s="70">
        <f t="shared" si="37"/>
        <v>0</v>
      </c>
      <c r="K203" s="71" t="b">
        <f>TRUE()</f>
        <v>1</v>
      </c>
      <c r="L203" s="76">
        <f t="shared" si="38"/>
        <v>0</v>
      </c>
      <c r="M203" s="73" t="b">
        <f>TRUE()</f>
        <v>1</v>
      </c>
      <c r="N203" s="70">
        <f t="shared" si="39"/>
        <v>0</v>
      </c>
      <c r="O203" s="71" t="b">
        <f>TRUE()</f>
        <v>1</v>
      </c>
      <c r="P203" s="76">
        <f t="shared" si="40"/>
        <v>0</v>
      </c>
      <c r="Q203" s="73" t="b">
        <f>TRUE()</f>
        <v>1</v>
      </c>
      <c r="R203" s="70">
        <f t="shared" si="41"/>
        <v>0</v>
      </c>
      <c r="S203" s="71" t="b">
        <f>TRUE()</f>
        <v>1</v>
      </c>
      <c r="T203" s="72"/>
      <c r="U203" s="71" t="b">
        <f>TRUE()</f>
        <v>1</v>
      </c>
      <c r="V203" s="76">
        <f t="shared" si="34"/>
        <v>0</v>
      </c>
      <c r="W203" s="71" t="b">
        <f>TRUE()</f>
        <v>1</v>
      </c>
      <c r="X203" s="76">
        <f t="shared" si="33"/>
        <v>0</v>
      </c>
      <c r="Y203" s="71" t="b">
        <f>TRUE()</f>
        <v>1</v>
      </c>
    </row>
    <row r="204" spans="1:26" ht="14" x14ac:dyDescent="0.3">
      <c r="A204" s="10">
        <v>202</v>
      </c>
      <c r="B204" s="49" t="s">
        <v>167</v>
      </c>
      <c r="C204" s="49" t="s">
        <v>230</v>
      </c>
      <c r="D204" s="91">
        <v>46227</v>
      </c>
      <c r="E204" s="91">
        <v>46257</v>
      </c>
      <c r="F204" s="35">
        <f t="shared" si="36"/>
        <v>31</v>
      </c>
      <c r="G204" s="67">
        <v>450</v>
      </c>
      <c r="H204" s="68">
        <v>900</v>
      </c>
      <c r="I204" s="69">
        <f t="shared" si="35"/>
        <v>6.4516129032258063E-2</v>
      </c>
      <c r="J204" s="74" t="str">
        <f t="shared" si="37"/>
        <v/>
      </c>
      <c r="K204" s="71" t="b">
        <f>FALSE()</f>
        <v>0</v>
      </c>
      <c r="L204" s="72" t="str">
        <f t="shared" si="38"/>
        <v/>
      </c>
      <c r="M204" s="73" t="b">
        <f>FALSE()</f>
        <v>0</v>
      </c>
      <c r="N204" s="74" t="str">
        <f t="shared" si="39"/>
        <v/>
      </c>
      <c r="O204" s="71" t="b">
        <f>FALSE()</f>
        <v>0</v>
      </c>
      <c r="P204" s="76">
        <f t="shared" si="40"/>
        <v>6.4516129032258063E-2</v>
      </c>
      <c r="Q204" s="73" t="b">
        <f>TRUE()</f>
        <v>1</v>
      </c>
      <c r="R204" s="74" t="str">
        <f t="shared" si="41"/>
        <v/>
      </c>
      <c r="S204" s="71" t="b">
        <f>FALSE()</f>
        <v>0</v>
      </c>
      <c r="T204" s="72"/>
      <c r="U204" s="71" t="b">
        <f>FALSE()</f>
        <v>0</v>
      </c>
      <c r="V204" s="72" t="str">
        <f t="shared" si="34"/>
        <v/>
      </c>
      <c r="W204" s="71" t="b">
        <f>FALSE()</f>
        <v>0</v>
      </c>
      <c r="X204" s="72" t="str">
        <f t="shared" si="33"/>
        <v/>
      </c>
      <c r="Y204" s="71" t="b">
        <f>FALSE()</f>
        <v>0</v>
      </c>
    </row>
    <row r="205" spans="1:26" ht="14" x14ac:dyDescent="0.3">
      <c r="A205" s="10">
        <v>203</v>
      </c>
      <c r="B205" s="49" t="s">
        <v>231</v>
      </c>
      <c r="C205" s="49"/>
      <c r="D205" s="91">
        <v>46230</v>
      </c>
      <c r="E205" s="91">
        <v>46260</v>
      </c>
      <c r="F205" s="35">
        <f t="shared" si="36"/>
        <v>31</v>
      </c>
      <c r="G205" s="67">
        <v>2250</v>
      </c>
      <c r="H205" s="68">
        <v>3529.4</v>
      </c>
      <c r="I205" s="69">
        <f t="shared" si="35"/>
        <v>5.0600716845878135E-2</v>
      </c>
      <c r="J205" s="74" t="str">
        <f t="shared" si="37"/>
        <v/>
      </c>
      <c r="K205" s="71" t="b">
        <f>FALSE()</f>
        <v>0</v>
      </c>
      <c r="L205" s="76">
        <f t="shared" si="38"/>
        <v>5.0600716845878135E-2</v>
      </c>
      <c r="M205" s="73" t="b">
        <f>TRUE()</f>
        <v>1</v>
      </c>
      <c r="N205" s="70">
        <f t="shared" si="39"/>
        <v>5.0600716845878135E-2</v>
      </c>
      <c r="O205" s="71" t="b">
        <f>TRUE()</f>
        <v>1</v>
      </c>
      <c r="P205" s="76">
        <f t="shared" si="40"/>
        <v>5.0600716845878135E-2</v>
      </c>
      <c r="Q205" s="73" t="b">
        <f>TRUE()</f>
        <v>1</v>
      </c>
      <c r="R205" s="70">
        <f t="shared" si="41"/>
        <v>5.0600716845878135E-2</v>
      </c>
      <c r="S205" s="71" t="b">
        <f>TRUE()</f>
        <v>1</v>
      </c>
      <c r="T205" s="72"/>
      <c r="U205" s="71" t="b">
        <f>TRUE()</f>
        <v>1</v>
      </c>
      <c r="V205" s="72" t="str">
        <f t="shared" si="34"/>
        <v/>
      </c>
      <c r="W205" s="71" t="b">
        <f>FALSE()</f>
        <v>0</v>
      </c>
      <c r="X205" s="72" t="str">
        <f t="shared" si="33"/>
        <v/>
      </c>
      <c r="Y205" s="71" t="b">
        <f>FALSE()</f>
        <v>0</v>
      </c>
    </row>
    <row r="206" spans="1:26" ht="14" x14ac:dyDescent="0.3">
      <c r="A206" s="10">
        <v>204</v>
      </c>
      <c r="B206" s="49" t="s">
        <v>212</v>
      </c>
      <c r="C206" s="49" t="s">
        <v>57</v>
      </c>
      <c r="D206" s="91">
        <v>46233</v>
      </c>
      <c r="E206" s="91">
        <v>46263</v>
      </c>
      <c r="F206" s="35">
        <f t="shared" si="36"/>
        <v>31</v>
      </c>
      <c r="G206" s="67">
        <v>900</v>
      </c>
      <c r="H206" s="67">
        <v>1670</v>
      </c>
      <c r="I206" s="69">
        <f t="shared" si="35"/>
        <v>5.9856630824372759E-2</v>
      </c>
      <c r="J206" s="70">
        <f t="shared" si="37"/>
        <v>5.9856630824372759E-2</v>
      </c>
      <c r="K206" s="71" t="b">
        <f>TRUE()</f>
        <v>1</v>
      </c>
      <c r="L206" s="72" t="str">
        <f t="shared" si="38"/>
        <v/>
      </c>
      <c r="M206" s="73" t="b">
        <f>FALSE()</f>
        <v>0</v>
      </c>
      <c r="N206" s="74" t="str">
        <f t="shared" si="39"/>
        <v/>
      </c>
      <c r="O206" s="71" t="b">
        <f>FALSE()</f>
        <v>0</v>
      </c>
      <c r="P206" s="76">
        <f t="shared" si="40"/>
        <v>5.9856630824372759E-2</v>
      </c>
      <c r="Q206" s="73" t="b">
        <f>TRUE()</f>
        <v>1</v>
      </c>
      <c r="R206" s="74" t="str">
        <f t="shared" si="41"/>
        <v/>
      </c>
      <c r="S206" s="71" t="b">
        <f>FALSE()</f>
        <v>0</v>
      </c>
      <c r="T206" s="72"/>
      <c r="U206" s="71" t="b">
        <f>FALSE()</f>
        <v>0</v>
      </c>
      <c r="V206" s="72" t="str">
        <f t="shared" si="34"/>
        <v/>
      </c>
      <c r="W206" s="71" t="b">
        <f>FALSE()</f>
        <v>0</v>
      </c>
      <c r="X206" s="72" t="str">
        <f t="shared" si="33"/>
        <v/>
      </c>
      <c r="Y206" s="71" t="b">
        <f>FALSE()</f>
        <v>0</v>
      </c>
    </row>
    <row r="207" spans="1:26" ht="14" x14ac:dyDescent="0.3">
      <c r="A207" s="10">
        <v>205</v>
      </c>
      <c r="B207" s="49" t="s">
        <v>33</v>
      </c>
      <c r="C207" s="49" t="s">
        <v>57</v>
      </c>
      <c r="D207" s="91">
        <v>46235</v>
      </c>
      <c r="E207" s="91">
        <v>46265</v>
      </c>
      <c r="F207" s="35">
        <f t="shared" si="36"/>
        <v>31</v>
      </c>
      <c r="G207" s="67">
        <v>600</v>
      </c>
      <c r="H207" s="67">
        <v>1100</v>
      </c>
      <c r="I207" s="69">
        <f t="shared" si="35"/>
        <v>5.9139784946236562E-2</v>
      </c>
      <c r="J207" s="74" t="str">
        <f t="shared" si="37"/>
        <v/>
      </c>
      <c r="K207" s="71" t="b">
        <f>FALSE()</f>
        <v>0</v>
      </c>
      <c r="L207" s="72" t="str">
        <f t="shared" si="38"/>
        <v/>
      </c>
      <c r="M207" s="73" t="b">
        <f>FALSE()</f>
        <v>0</v>
      </c>
      <c r="N207" s="74" t="str">
        <f t="shared" si="39"/>
        <v/>
      </c>
      <c r="O207" s="71" t="b">
        <f>FALSE()</f>
        <v>0</v>
      </c>
      <c r="P207" s="76">
        <f t="shared" si="40"/>
        <v>5.9139784946236562E-2</v>
      </c>
      <c r="Q207" s="73" t="b">
        <f>TRUE()</f>
        <v>1</v>
      </c>
      <c r="R207" s="70">
        <f t="shared" si="41"/>
        <v>5.9139784946236562E-2</v>
      </c>
      <c r="S207" s="71" t="b">
        <f>TRUE()</f>
        <v>1</v>
      </c>
      <c r="T207" s="72"/>
      <c r="U207" s="71" t="b">
        <f>FALSE()</f>
        <v>0</v>
      </c>
      <c r="V207" s="72" t="str">
        <f t="shared" si="34"/>
        <v/>
      </c>
      <c r="W207" s="71" t="b">
        <f>FALSE()</f>
        <v>0</v>
      </c>
      <c r="X207" s="72" t="str">
        <f t="shared" si="33"/>
        <v/>
      </c>
      <c r="Y207" s="71" t="b">
        <f>FALSE()</f>
        <v>0</v>
      </c>
    </row>
    <row r="208" spans="1:26" ht="14" x14ac:dyDescent="0.3">
      <c r="A208" s="10">
        <v>206</v>
      </c>
      <c r="B208" s="49" t="s">
        <v>108</v>
      </c>
      <c r="C208" s="49" t="s">
        <v>57</v>
      </c>
      <c r="D208" s="91">
        <v>46235</v>
      </c>
      <c r="E208" s="91">
        <v>46265</v>
      </c>
      <c r="F208" s="35">
        <f t="shared" si="36"/>
        <v>31</v>
      </c>
      <c r="G208" s="67">
        <v>450</v>
      </c>
      <c r="H208" s="67">
        <v>600</v>
      </c>
      <c r="I208" s="69">
        <f t="shared" si="35"/>
        <v>4.3010752688172046E-2</v>
      </c>
      <c r="J208" s="74" t="str">
        <f t="shared" si="37"/>
        <v/>
      </c>
      <c r="K208" s="71" t="b">
        <f>FALSE()</f>
        <v>0</v>
      </c>
      <c r="L208" s="72" t="str">
        <f t="shared" si="38"/>
        <v/>
      </c>
      <c r="M208" s="73" t="b">
        <f>FALSE()</f>
        <v>0</v>
      </c>
      <c r="N208" s="74" t="str">
        <f t="shared" si="39"/>
        <v/>
      </c>
      <c r="O208" s="71" t="b">
        <f>FALSE()</f>
        <v>0</v>
      </c>
      <c r="P208" s="72" t="str">
        <f t="shared" si="40"/>
        <v/>
      </c>
      <c r="Q208" s="73" t="b">
        <f>FALSE()</f>
        <v>0</v>
      </c>
      <c r="R208" s="74" t="str">
        <f t="shared" si="41"/>
        <v/>
      </c>
      <c r="S208" s="71" t="b">
        <f>FALSE()</f>
        <v>0</v>
      </c>
      <c r="T208" s="72"/>
      <c r="U208" s="71" t="b">
        <f>TRUE()</f>
        <v>1</v>
      </c>
      <c r="V208" s="72" t="str">
        <f t="shared" si="34"/>
        <v/>
      </c>
      <c r="W208" s="71" t="b">
        <f>FALSE()</f>
        <v>0</v>
      </c>
      <c r="X208" s="72" t="str">
        <f t="shared" si="33"/>
        <v/>
      </c>
      <c r="Y208" s="71" t="b">
        <f>FALSE()</f>
        <v>0</v>
      </c>
    </row>
    <row r="209" spans="1:26" ht="14" x14ac:dyDescent="0.3">
      <c r="A209" s="10">
        <v>207</v>
      </c>
      <c r="B209" s="49" t="s">
        <v>126</v>
      </c>
      <c r="C209" s="49" t="s">
        <v>57</v>
      </c>
      <c r="D209" s="91">
        <v>46235</v>
      </c>
      <c r="E209" s="91">
        <v>46265</v>
      </c>
      <c r="F209" s="35">
        <f t="shared" si="36"/>
        <v>31</v>
      </c>
      <c r="G209" s="67">
        <v>300</v>
      </c>
      <c r="H209" s="67">
        <v>550</v>
      </c>
      <c r="I209" s="69">
        <f t="shared" si="35"/>
        <v>5.9139784946236562E-2</v>
      </c>
      <c r="J209" s="70">
        <f t="shared" si="37"/>
        <v>5.9139784946236562E-2</v>
      </c>
      <c r="K209" s="71" t="b">
        <f>TRUE()</f>
        <v>1</v>
      </c>
      <c r="L209" s="72" t="str">
        <f t="shared" si="38"/>
        <v/>
      </c>
      <c r="M209" s="73" t="b">
        <f>FALSE()</f>
        <v>0</v>
      </c>
      <c r="N209" s="74" t="str">
        <f t="shared" si="39"/>
        <v/>
      </c>
      <c r="O209" s="71" t="b">
        <f>FALSE()</f>
        <v>0</v>
      </c>
      <c r="P209" s="72" t="str">
        <f t="shared" si="40"/>
        <v/>
      </c>
      <c r="Q209" s="73" t="b">
        <f>FALSE()</f>
        <v>0</v>
      </c>
      <c r="R209" s="74" t="str">
        <f t="shared" si="41"/>
        <v/>
      </c>
      <c r="S209" s="71" t="b">
        <f>FALSE()</f>
        <v>0</v>
      </c>
      <c r="T209" s="72"/>
      <c r="U209" s="71" t="b">
        <f>FALSE()</f>
        <v>0</v>
      </c>
      <c r="V209" s="72" t="str">
        <f t="shared" si="34"/>
        <v/>
      </c>
      <c r="W209" s="71" t="b">
        <f>FALSE()</f>
        <v>0</v>
      </c>
      <c r="X209" s="72" t="str">
        <f t="shared" si="33"/>
        <v/>
      </c>
      <c r="Y209" s="71" t="b">
        <f>FALSE()</f>
        <v>0</v>
      </c>
    </row>
    <row r="210" spans="1:26" ht="14" x14ac:dyDescent="0.3">
      <c r="A210" s="10">
        <v>208</v>
      </c>
      <c r="B210" s="49" t="s">
        <v>51</v>
      </c>
      <c r="C210" s="49" t="s">
        <v>57</v>
      </c>
      <c r="D210" s="91">
        <v>46252</v>
      </c>
      <c r="E210" s="91">
        <v>46282</v>
      </c>
      <c r="F210" s="35">
        <f t="shared" si="36"/>
        <v>31</v>
      </c>
      <c r="G210" s="67">
        <v>300</v>
      </c>
      <c r="H210" s="67">
        <v>550</v>
      </c>
      <c r="I210" s="69">
        <f t="shared" si="35"/>
        <v>5.9139784946236562E-2</v>
      </c>
      <c r="J210" s="74" t="str">
        <f t="shared" si="37"/>
        <v/>
      </c>
      <c r="K210" s="71" t="b">
        <f>FALSE()</f>
        <v>0</v>
      </c>
      <c r="L210" s="72" t="str">
        <f t="shared" si="38"/>
        <v/>
      </c>
      <c r="M210" s="73" t="b">
        <f>FALSE()</f>
        <v>0</v>
      </c>
      <c r="N210" s="74" t="str">
        <f t="shared" si="39"/>
        <v/>
      </c>
      <c r="O210" s="71" t="b">
        <f>FALSE()</f>
        <v>0</v>
      </c>
      <c r="P210" s="76">
        <f t="shared" si="40"/>
        <v>5.9139784946236562E-2</v>
      </c>
      <c r="Q210" s="73" t="b">
        <f>TRUE()</f>
        <v>1</v>
      </c>
      <c r="R210" s="74" t="str">
        <f t="shared" si="41"/>
        <v/>
      </c>
      <c r="S210" s="71" t="b">
        <f>FALSE()</f>
        <v>0</v>
      </c>
      <c r="T210" s="72"/>
      <c r="U210" s="71" t="b">
        <f>FALSE()</f>
        <v>0</v>
      </c>
      <c r="V210" s="72" t="str">
        <f t="shared" si="34"/>
        <v/>
      </c>
      <c r="W210" s="71" t="b">
        <f>FALSE()</f>
        <v>0</v>
      </c>
      <c r="X210" s="72" t="str">
        <f t="shared" si="33"/>
        <v/>
      </c>
      <c r="Y210" s="71" t="b">
        <f>FALSE()</f>
        <v>0</v>
      </c>
    </row>
    <row r="211" spans="1:26" ht="14" x14ac:dyDescent="0.3">
      <c r="A211" s="10">
        <v>209</v>
      </c>
      <c r="B211" s="49" t="s">
        <v>138</v>
      </c>
      <c r="C211" s="49" t="s">
        <v>232</v>
      </c>
      <c r="D211" s="91">
        <v>46235</v>
      </c>
      <c r="E211" s="91">
        <v>46265</v>
      </c>
      <c r="F211" s="35">
        <f t="shared" si="36"/>
        <v>31</v>
      </c>
      <c r="G211" s="67">
        <v>1200</v>
      </c>
      <c r="H211" s="67">
        <v>2823.52</v>
      </c>
      <c r="I211" s="69">
        <f t="shared" si="35"/>
        <v>7.5901075268817203E-2</v>
      </c>
      <c r="J211" s="74" t="str">
        <f t="shared" si="37"/>
        <v/>
      </c>
      <c r="K211" s="71" t="b">
        <f>FALSE()</f>
        <v>0</v>
      </c>
      <c r="L211" s="76">
        <f t="shared" si="38"/>
        <v>7.5901075268817203E-2</v>
      </c>
      <c r="M211" s="73" t="b">
        <f>TRUE()</f>
        <v>1</v>
      </c>
      <c r="N211" s="74" t="str">
        <f t="shared" si="39"/>
        <v/>
      </c>
      <c r="O211" s="71" t="b">
        <f>FALSE()</f>
        <v>0</v>
      </c>
      <c r="P211" s="76">
        <f t="shared" si="40"/>
        <v>7.5901075268817203E-2</v>
      </c>
      <c r="Q211" s="73" t="b">
        <f>TRUE()</f>
        <v>1</v>
      </c>
      <c r="R211" s="74" t="str">
        <f t="shared" si="41"/>
        <v/>
      </c>
      <c r="S211" s="71" t="b">
        <f>FALSE()</f>
        <v>0</v>
      </c>
      <c r="T211" s="72"/>
      <c r="U211" s="71" t="b">
        <f>TRUE()</f>
        <v>1</v>
      </c>
      <c r="V211" s="76">
        <f t="shared" si="34"/>
        <v>7.5901075268817203E-2</v>
      </c>
      <c r="W211" s="71" t="b">
        <f>TRUE()</f>
        <v>1</v>
      </c>
      <c r="X211" s="72" t="str">
        <f t="shared" ref="X211:X242" si="42">IF(Y211=TRUE(),$I211,"")</f>
        <v/>
      </c>
      <c r="Y211" s="71" t="b">
        <f>FALSE()</f>
        <v>0</v>
      </c>
    </row>
    <row r="212" spans="1:26" ht="14" x14ac:dyDescent="0.3">
      <c r="A212" s="10">
        <v>210</v>
      </c>
      <c r="B212" s="49" t="s">
        <v>212</v>
      </c>
      <c r="C212" s="49" t="s">
        <v>233</v>
      </c>
      <c r="D212" s="91">
        <v>46234</v>
      </c>
      <c r="E212" s="91">
        <v>46243</v>
      </c>
      <c r="F212" s="35">
        <f t="shared" si="36"/>
        <v>10</v>
      </c>
      <c r="G212" s="67">
        <v>900</v>
      </c>
      <c r="H212" s="67">
        <v>945</v>
      </c>
      <c r="I212" s="69">
        <f t="shared" si="35"/>
        <v>0.105</v>
      </c>
      <c r="J212" s="70">
        <f t="shared" si="37"/>
        <v>0.105</v>
      </c>
      <c r="K212" s="71" t="b">
        <f>TRUE()</f>
        <v>1</v>
      </c>
      <c r="L212" s="72" t="str">
        <f t="shared" si="38"/>
        <v/>
      </c>
      <c r="M212" s="73" t="b">
        <f>FALSE()</f>
        <v>0</v>
      </c>
      <c r="N212" s="74" t="str">
        <f t="shared" si="39"/>
        <v/>
      </c>
      <c r="O212" s="71" t="b">
        <f>FALSE()</f>
        <v>0</v>
      </c>
      <c r="P212" s="76">
        <f t="shared" si="40"/>
        <v>0.105</v>
      </c>
      <c r="Q212" s="73" t="b">
        <f>TRUE()</f>
        <v>1</v>
      </c>
      <c r="R212" s="74" t="str">
        <f t="shared" si="41"/>
        <v/>
      </c>
      <c r="S212" s="71" t="b">
        <f>FALSE()</f>
        <v>0</v>
      </c>
      <c r="T212" s="72"/>
      <c r="U212" s="71" t="b">
        <f>FALSE()</f>
        <v>0</v>
      </c>
      <c r="V212" s="72" t="str">
        <f t="shared" si="34"/>
        <v/>
      </c>
      <c r="W212" s="71" t="b">
        <f>FALSE()</f>
        <v>0</v>
      </c>
      <c r="X212" s="72" t="str">
        <f t="shared" si="42"/>
        <v/>
      </c>
      <c r="Y212" s="71" t="b">
        <f>FALSE()</f>
        <v>0</v>
      </c>
    </row>
    <row r="213" spans="1:26" ht="14" x14ac:dyDescent="0.3">
      <c r="A213" s="10">
        <v>211</v>
      </c>
      <c r="B213" s="49" t="s">
        <v>76</v>
      </c>
      <c r="C213" s="49" t="s">
        <v>234</v>
      </c>
      <c r="D213" s="91">
        <v>46242</v>
      </c>
      <c r="E213" s="91">
        <v>46272</v>
      </c>
      <c r="F213" s="35">
        <f t="shared" si="36"/>
        <v>31</v>
      </c>
      <c r="G213" s="67">
        <v>450</v>
      </c>
      <c r="H213" s="67">
        <v>1080</v>
      </c>
      <c r="I213" s="69">
        <f t="shared" si="35"/>
        <v>7.7419354838709681E-2</v>
      </c>
      <c r="J213" s="74" t="str">
        <f t="shared" si="37"/>
        <v/>
      </c>
      <c r="K213" s="71" t="b">
        <f>FALSE()</f>
        <v>0</v>
      </c>
      <c r="L213" s="72" t="str">
        <f t="shared" si="38"/>
        <v/>
      </c>
      <c r="M213" s="73" t="b">
        <f>FALSE()</f>
        <v>0</v>
      </c>
      <c r="N213" s="74" t="str">
        <f t="shared" si="39"/>
        <v/>
      </c>
      <c r="O213" s="71" t="b">
        <f>FALSE()</f>
        <v>0</v>
      </c>
      <c r="P213" s="72" t="str">
        <f t="shared" si="40"/>
        <v/>
      </c>
      <c r="Q213" s="73" t="b">
        <f>FALSE()</f>
        <v>0</v>
      </c>
      <c r="R213" s="74" t="str">
        <f t="shared" si="41"/>
        <v/>
      </c>
      <c r="S213" s="71" t="b">
        <f>FALSE()</f>
        <v>0</v>
      </c>
      <c r="T213" s="72"/>
      <c r="U213" s="71" t="b">
        <f>FALSE()</f>
        <v>0</v>
      </c>
      <c r="V213" s="72" t="str">
        <f t="shared" si="34"/>
        <v/>
      </c>
      <c r="W213" s="71" t="b">
        <f>FALSE()</f>
        <v>0</v>
      </c>
      <c r="X213" s="76">
        <f t="shared" si="42"/>
        <v>7.7419354838709681E-2</v>
      </c>
      <c r="Y213" s="71" t="b">
        <f>TRUE()</f>
        <v>1</v>
      </c>
    </row>
    <row r="214" spans="1:26" ht="14" x14ac:dyDescent="0.3">
      <c r="A214" s="10">
        <v>212</v>
      </c>
      <c r="B214" s="49" t="s">
        <v>82</v>
      </c>
      <c r="C214" s="49" t="s">
        <v>235</v>
      </c>
      <c r="D214" s="89">
        <v>46235</v>
      </c>
      <c r="E214" s="89">
        <v>46244</v>
      </c>
      <c r="F214" s="35">
        <f t="shared" si="36"/>
        <v>10</v>
      </c>
      <c r="G214" s="67">
        <v>900</v>
      </c>
      <c r="H214" s="67">
        <v>0</v>
      </c>
      <c r="I214" s="69">
        <f t="shared" si="35"/>
        <v>0</v>
      </c>
      <c r="J214" s="74" t="str">
        <f t="shared" si="37"/>
        <v/>
      </c>
      <c r="K214" s="71" t="b">
        <f>FALSE()</f>
        <v>0</v>
      </c>
      <c r="L214" s="76">
        <f t="shared" si="38"/>
        <v>0</v>
      </c>
      <c r="M214" s="73" t="b">
        <f>TRUE()</f>
        <v>1</v>
      </c>
      <c r="N214" s="74" t="str">
        <f t="shared" si="39"/>
        <v/>
      </c>
      <c r="O214" s="71" t="b">
        <f>FALSE()</f>
        <v>0</v>
      </c>
      <c r="P214" s="72" t="str">
        <f t="shared" si="40"/>
        <v/>
      </c>
      <c r="Q214" s="73" t="b">
        <f>FALSE()</f>
        <v>0</v>
      </c>
      <c r="R214" s="74" t="str">
        <f t="shared" si="41"/>
        <v/>
      </c>
      <c r="S214" s="71" t="b">
        <f>FALSE()</f>
        <v>0</v>
      </c>
      <c r="T214" s="72"/>
      <c r="U214" s="71" t="b">
        <f>TRUE()</f>
        <v>1</v>
      </c>
      <c r="V214" s="76">
        <f t="shared" si="34"/>
        <v>0</v>
      </c>
      <c r="W214" s="71" t="b">
        <f>TRUE()</f>
        <v>1</v>
      </c>
      <c r="X214" s="72" t="str">
        <f t="shared" si="42"/>
        <v/>
      </c>
      <c r="Y214" s="71" t="b">
        <f>FALSE()</f>
        <v>0</v>
      </c>
      <c r="Z214" s="54" t="s">
        <v>162</v>
      </c>
    </row>
    <row r="215" spans="1:26" ht="14" x14ac:dyDescent="0.3">
      <c r="A215" s="10">
        <v>213</v>
      </c>
      <c r="B215" s="49" t="s">
        <v>236</v>
      </c>
      <c r="C215" s="49" t="s">
        <v>166</v>
      </c>
      <c r="D215" s="89">
        <v>46235</v>
      </c>
      <c r="E215" s="89">
        <v>46265</v>
      </c>
      <c r="F215" s="35">
        <f t="shared" si="36"/>
        <v>31</v>
      </c>
      <c r="G215" s="67">
        <v>300</v>
      </c>
      <c r="H215" s="67">
        <v>337.5</v>
      </c>
      <c r="I215" s="69">
        <f t="shared" si="35"/>
        <v>3.6290322580645164E-2</v>
      </c>
      <c r="J215" s="74" t="str">
        <f t="shared" si="37"/>
        <v/>
      </c>
      <c r="K215" s="71" t="b">
        <f>FALSE()</f>
        <v>0</v>
      </c>
      <c r="L215" s="72" t="str">
        <f t="shared" si="38"/>
        <v/>
      </c>
      <c r="M215" s="73" t="b">
        <f>FALSE()</f>
        <v>0</v>
      </c>
      <c r="N215" s="70">
        <f t="shared" si="39"/>
        <v>3.6290322580645164E-2</v>
      </c>
      <c r="O215" s="71" t="b">
        <f>TRUE()</f>
        <v>1</v>
      </c>
      <c r="P215" s="72" t="str">
        <f t="shared" si="40"/>
        <v/>
      </c>
      <c r="Q215" s="73" t="b">
        <f>FALSE()</f>
        <v>0</v>
      </c>
      <c r="R215" s="74" t="str">
        <f t="shared" si="41"/>
        <v/>
      </c>
      <c r="S215" s="71" t="b">
        <f>FALSE()</f>
        <v>0</v>
      </c>
      <c r="T215" s="72"/>
      <c r="U215" s="71" t="b">
        <f>FALSE()</f>
        <v>0</v>
      </c>
      <c r="V215" s="72" t="str">
        <f t="shared" si="34"/>
        <v/>
      </c>
      <c r="W215" s="71" t="b">
        <f>FALSE()</f>
        <v>0</v>
      </c>
      <c r="X215" s="72" t="str">
        <f t="shared" si="42"/>
        <v/>
      </c>
      <c r="Y215" s="71" t="b">
        <f>FALSE()</f>
        <v>0</v>
      </c>
    </row>
    <row r="216" spans="1:26" ht="14" x14ac:dyDescent="0.3">
      <c r="A216" s="10">
        <v>214</v>
      </c>
      <c r="B216" s="49" t="s">
        <v>110</v>
      </c>
      <c r="C216" s="49" t="s">
        <v>166</v>
      </c>
      <c r="D216" s="89">
        <v>46235</v>
      </c>
      <c r="E216" s="89">
        <v>46265</v>
      </c>
      <c r="F216" s="35">
        <f t="shared" si="36"/>
        <v>31</v>
      </c>
      <c r="G216" s="67">
        <v>300</v>
      </c>
      <c r="H216" s="67">
        <v>337.5</v>
      </c>
      <c r="I216" s="69">
        <f t="shared" si="35"/>
        <v>3.6290322580645164E-2</v>
      </c>
      <c r="J216" s="74" t="str">
        <f t="shared" si="37"/>
        <v/>
      </c>
      <c r="K216" s="71" t="b">
        <f>FALSE()</f>
        <v>0</v>
      </c>
      <c r="L216" s="72" t="str">
        <f t="shared" si="38"/>
        <v/>
      </c>
      <c r="M216" s="73" t="b">
        <f>FALSE()</f>
        <v>0</v>
      </c>
      <c r="N216" s="70">
        <f t="shared" si="39"/>
        <v>3.6290322580645164E-2</v>
      </c>
      <c r="O216" s="71" t="b">
        <f>TRUE()</f>
        <v>1</v>
      </c>
      <c r="P216" s="72" t="str">
        <f t="shared" si="40"/>
        <v/>
      </c>
      <c r="Q216" s="73" t="b">
        <f>FALSE()</f>
        <v>0</v>
      </c>
      <c r="R216" s="74" t="str">
        <f t="shared" si="41"/>
        <v/>
      </c>
      <c r="S216" s="71" t="b">
        <f>FALSE()</f>
        <v>0</v>
      </c>
      <c r="T216" s="72"/>
      <c r="U216" s="71" t="b">
        <f>FALSE()</f>
        <v>0</v>
      </c>
      <c r="V216" s="72" t="str">
        <f t="shared" si="34"/>
        <v/>
      </c>
      <c r="W216" s="71" t="b">
        <f>FALSE()</f>
        <v>0</v>
      </c>
      <c r="X216" s="72" t="str">
        <f t="shared" si="42"/>
        <v/>
      </c>
      <c r="Y216" s="71" t="b">
        <f>FALSE()</f>
        <v>0</v>
      </c>
    </row>
    <row r="217" spans="1:26" ht="14" x14ac:dyDescent="0.3">
      <c r="A217" s="10">
        <v>215</v>
      </c>
      <c r="B217" s="49" t="s">
        <v>202</v>
      </c>
      <c r="C217" s="49"/>
      <c r="D217" s="89">
        <v>46235</v>
      </c>
      <c r="E217" s="89">
        <v>46265</v>
      </c>
      <c r="F217" s="35">
        <f t="shared" si="36"/>
        <v>31</v>
      </c>
      <c r="G217" s="67">
        <v>900</v>
      </c>
      <c r="H217" s="67">
        <v>1080</v>
      </c>
      <c r="I217" s="69">
        <f t="shared" si="35"/>
        <v>3.870967741935484E-2</v>
      </c>
      <c r="J217" s="74" t="str">
        <f t="shared" si="37"/>
        <v/>
      </c>
      <c r="K217" s="71" t="b">
        <f>FALSE()</f>
        <v>0</v>
      </c>
      <c r="L217" s="76">
        <f t="shared" si="38"/>
        <v>3.870967741935484E-2</v>
      </c>
      <c r="M217" s="73" t="b">
        <f>TRUE()</f>
        <v>1</v>
      </c>
      <c r="N217" s="74" t="str">
        <f t="shared" si="39"/>
        <v/>
      </c>
      <c r="O217" s="71" t="b">
        <f>FALSE()</f>
        <v>0</v>
      </c>
      <c r="P217" s="72" t="str">
        <f t="shared" si="40"/>
        <v/>
      </c>
      <c r="Q217" s="73" t="b">
        <f>FALSE()</f>
        <v>0</v>
      </c>
      <c r="R217" s="70">
        <f t="shared" si="41"/>
        <v>3.870967741935484E-2</v>
      </c>
      <c r="S217" s="71" t="b">
        <f>TRUE()</f>
        <v>1</v>
      </c>
      <c r="T217" s="72">
        <v>0.04</v>
      </c>
      <c r="U217" s="71" t="b">
        <f>TRUE()</f>
        <v>1</v>
      </c>
      <c r="V217" s="72" t="str">
        <f t="shared" ref="V217:V248" si="43">IF(W217=TRUE(),$I217,"")</f>
        <v/>
      </c>
      <c r="W217" s="71" t="b">
        <f>FALSE()</f>
        <v>0</v>
      </c>
      <c r="X217" s="72" t="str">
        <f t="shared" si="42"/>
        <v/>
      </c>
      <c r="Y217" s="71" t="b">
        <f>FALSE()</f>
        <v>0</v>
      </c>
    </row>
    <row r="218" spans="1:26" ht="14" x14ac:dyDescent="0.3">
      <c r="A218" s="10">
        <v>216</v>
      </c>
      <c r="B218" s="49" t="s">
        <v>37</v>
      </c>
      <c r="C218" s="49" t="s">
        <v>69</v>
      </c>
      <c r="D218" s="89">
        <v>46235</v>
      </c>
      <c r="E218" s="89">
        <v>46247</v>
      </c>
      <c r="F218" s="35">
        <f t="shared" si="36"/>
        <v>13</v>
      </c>
      <c r="G218" s="67">
        <v>450</v>
      </c>
      <c r="H218" s="67">
        <v>292.5</v>
      </c>
      <c r="I218" s="69">
        <f t="shared" si="35"/>
        <v>0.05</v>
      </c>
      <c r="J218" s="74" t="str">
        <f t="shared" si="37"/>
        <v/>
      </c>
      <c r="K218" s="71" t="b">
        <f>FALSE()</f>
        <v>0</v>
      </c>
      <c r="L218" s="72" t="str">
        <f t="shared" si="38"/>
        <v/>
      </c>
      <c r="M218" s="73" t="b">
        <f>FALSE()</f>
        <v>0</v>
      </c>
      <c r="N218" s="74" t="str">
        <f t="shared" si="39"/>
        <v/>
      </c>
      <c r="O218" s="71" t="b">
        <f>FALSE()</f>
        <v>0</v>
      </c>
      <c r="P218" s="72" t="str">
        <f t="shared" si="40"/>
        <v/>
      </c>
      <c r="Q218" s="73" t="b">
        <f>FALSE()</f>
        <v>0</v>
      </c>
      <c r="R218" s="74" t="str">
        <f t="shared" si="41"/>
        <v/>
      </c>
      <c r="S218" s="71" t="b">
        <f>FALSE()</f>
        <v>0</v>
      </c>
      <c r="T218" s="72"/>
      <c r="U218" s="71" t="b">
        <f>FALSE()</f>
        <v>0</v>
      </c>
      <c r="V218" s="72" t="str">
        <f t="shared" si="43"/>
        <v/>
      </c>
      <c r="W218" s="71" t="b">
        <f>FALSE()</f>
        <v>0</v>
      </c>
      <c r="X218" s="76">
        <f t="shared" si="42"/>
        <v>0.05</v>
      </c>
      <c r="Y218" s="71" t="b">
        <f>TRUE()</f>
        <v>1</v>
      </c>
    </row>
    <row r="219" spans="1:26" ht="14" x14ac:dyDescent="0.3">
      <c r="A219" s="10">
        <v>217</v>
      </c>
      <c r="B219" s="49" t="s">
        <v>140</v>
      </c>
      <c r="C219" s="49" t="s">
        <v>237</v>
      </c>
      <c r="D219" s="89">
        <v>46235</v>
      </c>
      <c r="E219" s="89">
        <v>46265</v>
      </c>
      <c r="F219" s="35">
        <f t="shared" si="36"/>
        <v>31</v>
      </c>
      <c r="G219" s="67">
        <v>450</v>
      </c>
      <c r="H219" s="67">
        <v>810</v>
      </c>
      <c r="I219" s="69">
        <f t="shared" si="35"/>
        <v>5.8064516129032261E-2</v>
      </c>
      <c r="J219" s="70">
        <f t="shared" si="37"/>
        <v>5.8064516129032261E-2</v>
      </c>
      <c r="K219" s="71" t="b">
        <f>TRUE()</f>
        <v>1</v>
      </c>
      <c r="L219" s="72" t="str">
        <f t="shared" si="38"/>
        <v/>
      </c>
      <c r="M219" s="73" t="b">
        <f>FALSE()</f>
        <v>0</v>
      </c>
      <c r="N219" s="74" t="str">
        <f t="shared" si="39"/>
        <v/>
      </c>
      <c r="O219" s="71" t="b">
        <f>FALSE()</f>
        <v>0</v>
      </c>
      <c r="P219" s="72" t="str">
        <f t="shared" si="40"/>
        <v/>
      </c>
      <c r="Q219" s="73" t="b">
        <f>FALSE()</f>
        <v>0</v>
      </c>
      <c r="R219" s="74" t="str">
        <f t="shared" si="41"/>
        <v/>
      </c>
      <c r="S219" s="71" t="b">
        <f>FALSE()</f>
        <v>0</v>
      </c>
      <c r="T219" s="72"/>
      <c r="U219" s="71" t="b">
        <f>FALSE()</f>
        <v>0</v>
      </c>
      <c r="V219" s="72" t="str">
        <f t="shared" si="43"/>
        <v/>
      </c>
      <c r="W219" s="71" t="b">
        <f>FALSE()</f>
        <v>0</v>
      </c>
      <c r="X219" s="72" t="str">
        <f t="shared" si="42"/>
        <v/>
      </c>
      <c r="Y219" s="71" t="b">
        <f>FALSE()</f>
        <v>0</v>
      </c>
    </row>
    <row r="220" spans="1:26" ht="14" x14ac:dyDescent="0.3">
      <c r="A220" s="10">
        <v>218</v>
      </c>
      <c r="B220" s="49" t="s">
        <v>91</v>
      </c>
      <c r="C220" s="49" t="s">
        <v>238</v>
      </c>
      <c r="D220" s="89">
        <v>46245</v>
      </c>
      <c r="E220" s="89">
        <v>46275</v>
      </c>
      <c r="F220" s="35">
        <f t="shared" si="36"/>
        <v>31</v>
      </c>
      <c r="G220" s="67">
        <v>450</v>
      </c>
      <c r="H220" s="67">
        <v>675</v>
      </c>
      <c r="I220" s="69">
        <f t="shared" si="35"/>
        <v>4.8387096774193547E-2</v>
      </c>
      <c r="J220" s="74" t="str">
        <f t="shared" si="37"/>
        <v/>
      </c>
      <c r="K220" s="71" t="b">
        <f>FALSE()</f>
        <v>0</v>
      </c>
      <c r="L220" s="72" t="str">
        <f t="shared" si="38"/>
        <v/>
      </c>
      <c r="M220" s="73" t="b">
        <f>FALSE()</f>
        <v>0</v>
      </c>
      <c r="N220" s="70">
        <f t="shared" si="39"/>
        <v>4.8387096774193547E-2</v>
      </c>
      <c r="O220" s="71" t="b">
        <f>TRUE()</f>
        <v>1</v>
      </c>
      <c r="P220" s="72" t="str">
        <f t="shared" si="40"/>
        <v/>
      </c>
      <c r="Q220" s="73" t="b">
        <f>FALSE()</f>
        <v>0</v>
      </c>
      <c r="R220" s="74" t="str">
        <f t="shared" si="41"/>
        <v/>
      </c>
      <c r="S220" s="71" t="b">
        <f>FALSE()</f>
        <v>0</v>
      </c>
      <c r="T220" s="72"/>
      <c r="U220" s="71" t="b">
        <f>FALSE()</f>
        <v>0</v>
      </c>
      <c r="V220" s="72" t="str">
        <f t="shared" si="43"/>
        <v/>
      </c>
      <c r="W220" s="71" t="b">
        <f>FALSE()</f>
        <v>0</v>
      </c>
      <c r="X220" s="72" t="str">
        <f t="shared" si="42"/>
        <v/>
      </c>
      <c r="Y220" s="71" t="b">
        <f>FALSE()</f>
        <v>0</v>
      </c>
    </row>
    <row r="221" spans="1:26" ht="14" x14ac:dyDescent="0.3">
      <c r="A221" s="10">
        <v>219</v>
      </c>
      <c r="B221" s="49" t="s">
        <v>199</v>
      </c>
      <c r="C221" s="49"/>
      <c r="D221" s="89">
        <v>46245</v>
      </c>
      <c r="E221" s="89">
        <v>46265</v>
      </c>
      <c r="F221" s="35">
        <f t="shared" si="36"/>
        <v>21</v>
      </c>
      <c r="G221" s="67">
        <v>1350</v>
      </c>
      <c r="H221" s="67">
        <v>2850</v>
      </c>
      <c r="I221" s="69">
        <f t="shared" si="35"/>
        <v>0.10052910052910052</v>
      </c>
      <c r="J221" s="70">
        <f t="shared" si="37"/>
        <v>0.10052910052910052</v>
      </c>
      <c r="K221" s="71" t="b">
        <f>TRUE()</f>
        <v>1</v>
      </c>
      <c r="L221" s="76">
        <f t="shared" si="38"/>
        <v>0.10052910052910052</v>
      </c>
      <c r="M221" s="73" t="b">
        <f>TRUE()</f>
        <v>1</v>
      </c>
      <c r="N221" s="74" t="str">
        <f t="shared" si="39"/>
        <v/>
      </c>
      <c r="O221" s="71" t="b">
        <f>FALSE()</f>
        <v>0</v>
      </c>
      <c r="P221" s="76">
        <f t="shared" si="40"/>
        <v>0.10052910052910052</v>
      </c>
      <c r="Q221" s="73" t="b">
        <f>TRUE()</f>
        <v>1</v>
      </c>
      <c r="R221" s="74" t="str">
        <f t="shared" si="41"/>
        <v/>
      </c>
      <c r="S221" s="71" t="b">
        <f>FALSE()</f>
        <v>0</v>
      </c>
      <c r="T221" s="72"/>
      <c r="U221" s="71" t="b">
        <f>FALSE()</f>
        <v>0</v>
      </c>
      <c r="V221" s="72" t="str">
        <f t="shared" si="43"/>
        <v/>
      </c>
      <c r="W221" s="71" t="b">
        <f>FALSE()</f>
        <v>0</v>
      </c>
      <c r="X221" s="72" t="str">
        <f t="shared" si="42"/>
        <v/>
      </c>
      <c r="Y221" s="71" t="b">
        <f>FALSE()</f>
        <v>0</v>
      </c>
    </row>
    <row r="222" spans="1:26" ht="14" x14ac:dyDescent="0.3">
      <c r="A222" s="10">
        <v>220</v>
      </c>
      <c r="B222" s="49" t="s">
        <v>239</v>
      </c>
      <c r="C222" s="49" t="s">
        <v>166</v>
      </c>
      <c r="D222" s="89">
        <v>46246</v>
      </c>
      <c r="E222" s="89">
        <v>46276</v>
      </c>
      <c r="F222" s="35">
        <f t="shared" si="36"/>
        <v>31</v>
      </c>
      <c r="G222" s="67">
        <v>450</v>
      </c>
      <c r="H222" s="67">
        <v>810</v>
      </c>
      <c r="I222" s="69">
        <f t="shared" si="35"/>
        <v>5.8064516129032261E-2</v>
      </c>
      <c r="J222" s="74" t="str">
        <f t="shared" si="37"/>
        <v/>
      </c>
      <c r="K222" s="71" t="b">
        <f>FALSE()</f>
        <v>0</v>
      </c>
      <c r="L222" s="72" t="str">
        <f t="shared" si="38"/>
        <v/>
      </c>
      <c r="M222" s="73" t="b">
        <f>FALSE()</f>
        <v>0</v>
      </c>
      <c r="N222" s="74" t="str">
        <f t="shared" si="39"/>
        <v/>
      </c>
      <c r="O222" s="71" t="b">
        <f>FALSE()</f>
        <v>0</v>
      </c>
      <c r="P222" s="76">
        <f t="shared" si="40"/>
        <v>5.8064516129032261E-2</v>
      </c>
      <c r="Q222" s="73" t="b">
        <f>TRUE()</f>
        <v>1</v>
      </c>
      <c r="R222" s="74" t="str">
        <f t="shared" si="41"/>
        <v/>
      </c>
      <c r="S222" s="71" t="b">
        <f>FALSE()</f>
        <v>0</v>
      </c>
      <c r="T222" s="72"/>
      <c r="U222" s="71" t="b">
        <f>FALSE()</f>
        <v>0</v>
      </c>
      <c r="V222" s="72" t="str">
        <f t="shared" si="43"/>
        <v/>
      </c>
      <c r="W222" s="71" t="b">
        <f>FALSE()</f>
        <v>0</v>
      </c>
      <c r="X222" s="72" t="str">
        <f t="shared" si="42"/>
        <v/>
      </c>
      <c r="Y222" s="71" t="b">
        <f>FALSE()</f>
        <v>0</v>
      </c>
    </row>
    <row r="223" spans="1:26" ht="14" x14ac:dyDescent="0.3">
      <c r="A223" s="10">
        <v>221</v>
      </c>
      <c r="B223" s="49" t="s">
        <v>240</v>
      </c>
      <c r="C223" s="49" t="s">
        <v>241</v>
      </c>
      <c r="D223" s="89">
        <v>46246</v>
      </c>
      <c r="E223" s="89">
        <v>46255</v>
      </c>
      <c r="F223" s="35">
        <f t="shared" si="36"/>
        <v>10</v>
      </c>
      <c r="G223" s="67">
        <v>900</v>
      </c>
      <c r="H223" s="67">
        <v>540</v>
      </c>
      <c r="I223" s="69">
        <f t="shared" si="35"/>
        <v>0.06</v>
      </c>
      <c r="J223" s="74" t="str">
        <f t="shared" si="37"/>
        <v/>
      </c>
      <c r="K223" s="71" t="b">
        <f>FALSE()</f>
        <v>0</v>
      </c>
      <c r="L223" s="76">
        <f t="shared" si="38"/>
        <v>0.06</v>
      </c>
      <c r="M223" s="73" t="b">
        <f>TRUE()</f>
        <v>1</v>
      </c>
      <c r="N223" s="74" t="str">
        <f t="shared" si="39"/>
        <v/>
      </c>
      <c r="O223" s="71" t="b">
        <f>FALSE()</f>
        <v>0</v>
      </c>
      <c r="P223" s="72" t="str">
        <f t="shared" si="40"/>
        <v/>
      </c>
      <c r="Q223" s="73" t="b">
        <f>FALSE()</f>
        <v>0</v>
      </c>
      <c r="R223" s="74" t="str">
        <f t="shared" si="41"/>
        <v/>
      </c>
      <c r="S223" s="71" t="b">
        <f>FALSE()</f>
        <v>0</v>
      </c>
      <c r="T223" s="72"/>
      <c r="U223" s="71" t="b">
        <f>FALSE()</f>
        <v>0</v>
      </c>
      <c r="V223" s="76">
        <f t="shared" si="43"/>
        <v>0.06</v>
      </c>
      <c r="W223" s="71" t="b">
        <f>TRUE()</f>
        <v>1</v>
      </c>
      <c r="X223" s="76">
        <f t="shared" si="42"/>
        <v>0.06</v>
      </c>
      <c r="Y223" s="71" t="b">
        <f>TRUE()</f>
        <v>1</v>
      </c>
      <c r="Z223" s="54" t="s">
        <v>162</v>
      </c>
    </row>
    <row r="224" spans="1:26" ht="14" x14ac:dyDescent="0.3">
      <c r="A224" s="10">
        <v>222</v>
      </c>
      <c r="B224" s="49" t="s">
        <v>199</v>
      </c>
      <c r="C224" s="49"/>
      <c r="D224" s="89">
        <v>46249</v>
      </c>
      <c r="E224" s="89">
        <v>46265</v>
      </c>
      <c r="F224" s="35">
        <f t="shared" si="36"/>
        <v>17</v>
      </c>
      <c r="G224" s="67">
        <v>2700</v>
      </c>
      <c r="H224" s="67">
        <v>3750</v>
      </c>
      <c r="I224" s="69">
        <f t="shared" si="35"/>
        <v>8.1699346405228759E-2</v>
      </c>
      <c r="J224" s="70">
        <f t="shared" si="37"/>
        <v>8.1699346405228759E-2</v>
      </c>
      <c r="K224" s="71" t="b">
        <f>TRUE()</f>
        <v>1</v>
      </c>
      <c r="L224" s="76">
        <f t="shared" si="38"/>
        <v>8.1699346405228759E-2</v>
      </c>
      <c r="M224" s="73" t="b">
        <f>TRUE()</f>
        <v>1</v>
      </c>
      <c r="N224" s="74" t="str">
        <f t="shared" si="39"/>
        <v/>
      </c>
      <c r="O224" s="71" t="b">
        <f>FALSE()</f>
        <v>0</v>
      </c>
      <c r="P224" s="76">
        <f t="shared" si="40"/>
        <v>8.1699346405228759E-2</v>
      </c>
      <c r="Q224" s="73" t="b">
        <f>TRUE()</f>
        <v>1</v>
      </c>
      <c r="R224" s="74" t="str">
        <f t="shared" si="41"/>
        <v/>
      </c>
      <c r="S224" s="71" t="b">
        <f>FALSE()</f>
        <v>0</v>
      </c>
      <c r="T224" s="72"/>
      <c r="U224" s="71" t="b">
        <f>FALSE()</f>
        <v>0</v>
      </c>
      <c r="V224" s="72" t="str">
        <f t="shared" si="43"/>
        <v/>
      </c>
      <c r="W224" s="71" t="b">
        <f>FALSE()</f>
        <v>0</v>
      </c>
      <c r="X224" s="72" t="str">
        <f t="shared" si="42"/>
        <v/>
      </c>
      <c r="Y224" s="71" t="b">
        <f>FALSE()</f>
        <v>0</v>
      </c>
    </row>
    <row r="225" spans="1:25" ht="14" x14ac:dyDescent="0.3">
      <c r="A225" s="10">
        <v>223</v>
      </c>
      <c r="B225" s="49" t="s">
        <v>242</v>
      </c>
      <c r="C225" s="49" t="s">
        <v>166</v>
      </c>
      <c r="D225" s="89">
        <v>46249</v>
      </c>
      <c r="E225" s="89">
        <v>46265</v>
      </c>
      <c r="F225" s="35">
        <f t="shared" si="36"/>
        <v>17</v>
      </c>
      <c r="G225" s="67">
        <v>900</v>
      </c>
      <c r="H225" s="67">
        <v>945</v>
      </c>
      <c r="I225" s="69">
        <f t="shared" ref="I225:I256" si="44">IFERROR(H225/(F225*G225),"")</f>
        <v>6.1764705882352944E-2</v>
      </c>
      <c r="J225" s="74" t="str">
        <f t="shared" si="37"/>
        <v/>
      </c>
      <c r="K225" s="71" t="b">
        <f>FALSE()</f>
        <v>0</v>
      </c>
      <c r="L225" s="72" t="str">
        <f t="shared" si="38"/>
        <v/>
      </c>
      <c r="M225" s="73" t="b">
        <f>FALSE()</f>
        <v>0</v>
      </c>
      <c r="N225" s="74" t="str">
        <f t="shared" si="39"/>
        <v/>
      </c>
      <c r="O225" s="71" t="b">
        <f>FALSE()</f>
        <v>0</v>
      </c>
      <c r="P225" s="76">
        <f t="shared" si="40"/>
        <v>6.1764705882352944E-2</v>
      </c>
      <c r="Q225" s="73" t="b">
        <f>TRUE()</f>
        <v>1</v>
      </c>
      <c r="R225" s="74" t="str">
        <f t="shared" si="41"/>
        <v/>
      </c>
      <c r="S225" s="71" t="b">
        <f>FALSE()</f>
        <v>0</v>
      </c>
      <c r="T225" s="72"/>
      <c r="U225" s="71" t="b">
        <f>FALSE()</f>
        <v>0</v>
      </c>
      <c r="V225" s="72" t="str">
        <f t="shared" si="43"/>
        <v/>
      </c>
      <c r="W225" s="71" t="b">
        <f>FALSE()</f>
        <v>0</v>
      </c>
      <c r="X225" s="72" t="str">
        <f t="shared" si="42"/>
        <v/>
      </c>
      <c r="Y225" s="71" t="b">
        <f>FALSE()</f>
        <v>0</v>
      </c>
    </row>
    <row r="226" spans="1:25" ht="14" x14ac:dyDescent="0.3">
      <c r="A226" s="10">
        <v>224</v>
      </c>
      <c r="B226" s="49" t="s">
        <v>169</v>
      </c>
      <c r="C226" s="49" t="s">
        <v>166</v>
      </c>
      <c r="D226" s="89">
        <v>46249</v>
      </c>
      <c r="E226" s="89">
        <v>46265</v>
      </c>
      <c r="F226" s="35">
        <f t="shared" si="36"/>
        <v>17</v>
      </c>
      <c r="G226" s="67">
        <v>450</v>
      </c>
      <c r="H226" s="67">
        <v>540</v>
      </c>
      <c r="I226" s="69">
        <f t="shared" si="44"/>
        <v>7.0588235294117646E-2</v>
      </c>
      <c r="J226" s="74" t="str">
        <f t="shared" si="37"/>
        <v/>
      </c>
      <c r="K226" s="71" t="b">
        <f>FALSE()</f>
        <v>0</v>
      </c>
      <c r="L226" s="72" t="str">
        <f t="shared" si="38"/>
        <v/>
      </c>
      <c r="M226" s="73" t="b">
        <f>FALSE()</f>
        <v>0</v>
      </c>
      <c r="N226" s="74" t="str">
        <f t="shared" si="39"/>
        <v/>
      </c>
      <c r="O226" s="71" t="b">
        <f>FALSE()</f>
        <v>0</v>
      </c>
      <c r="P226" s="76">
        <f t="shared" si="40"/>
        <v>7.0588235294117646E-2</v>
      </c>
      <c r="Q226" s="73" t="b">
        <f>TRUE()</f>
        <v>1</v>
      </c>
      <c r="R226" s="74" t="str">
        <f t="shared" si="41"/>
        <v/>
      </c>
      <c r="S226" s="71" t="b">
        <f>FALSE()</f>
        <v>0</v>
      </c>
      <c r="T226" s="72"/>
      <c r="U226" s="71" t="b">
        <f>FALSE()</f>
        <v>0</v>
      </c>
      <c r="V226" s="72" t="str">
        <f t="shared" si="43"/>
        <v/>
      </c>
      <c r="W226" s="71" t="b">
        <f>FALSE()</f>
        <v>0</v>
      </c>
      <c r="X226" s="72" t="str">
        <f t="shared" si="42"/>
        <v/>
      </c>
      <c r="Y226" s="71" t="b">
        <f>FALSE()</f>
        <v>0</v>
      </c>
    </row>
    <row r="227" spans="1:25" ht="14" x14ac:dyDescent="0.3">
      <c r="A227" s="10">
        <v>225</v>
      </c>
      <c r="B227" s="49" t="s">
        <v>243</v>
      </c>
      <c r="C227" s="49" t="s">
        <v>166</v>
      </c>
      <c r="D227" s="89">
        <v>46248</v>
      </c>
      <c r="E227" s="89">
        <v>46278</v>
      </c>
      <c r="F227" s="35">
        <f t="shared" si="36"/>
        <v>31</v>
      </c>
      <c r="G227" s="67">
        <v>1800</v>
      </c>
      <c r="H227" s="67">
        <v>3000</v>
      </c>
      <c r="I227" s="69">
        <f t="shared" si="44"/>
        <v>5.3763440860215055E-2</v>
      </c>
      <c r="J227" s="70">
        <f t="shared" si="37"/>
        <v>5.3763440860215055E-2</v>
      </c>
      <c r="K227" s="71" t="b">
        <f>TRUE()</f>
        <v>1</v>
      </c>
      <c r="L227" s="72" t="str">
        <f t="shared" si="38"/>
        <v/>
      </c>
      <c r="M227" s="73" t="b">
        <f>FALSE()</f>
        <v>0</v>
      </c>
      <c r="N227" s="70">
        <f t="shared" si="39"/>
        <v>5.3763440860215055E-2</v>
      </c>
      <c r="O227" s="71" t="b">
        <f>TRUE()</f>
        <v>1</v>
      </c>
      <c r="P227" s="72" t="str">
        <f t="shared" si="40"/>
        <v/>
      </c>
      <c r="Q227" s="73" t="b">
        <f>FALSE()</f>
        <v>0</v>
      </c>
      <c r="R227" s="70">
        <f t="shared" si="41"/>
        <v>5.3763440860215055E-2</v>
      </c>
      <c r="S227" s="71" t="b">
        <f>TRUE()</f>
        <v>1</v>
      </c>
      <c r="T227" s="72"/>
      <c r="U227" s="71" t="b">
        <f>FALSE()</f>
        <v>0</v>
      </c>
      <c r="V227" s="76">
        <f t="shared" si="43"/>
        <v>5.3763440860215055E-2</v>
      </c>
      <c r="W227" s="71" t="b">
        <f>TRUE()</f>
        <v>1</v>
      </c>
      <c r="X227" s="72" t="str">
        <f t="shared" si="42"/>
        <v/>
      </c>
      <c r="Y227" s="71" t="b">
        <f>FALSE()</f>
        <v>0</v>
      </c>
    </row>
    <row r="228" spans="1:25" ht="14" x14ac:dyDescent="0.3">
      <c r="A228" s="10">
        <v>226</v>
      </c>
      <c r="B228" s="49" t="s">
        <v>37</v>
      </c>
      <c r="C228" s="49" t="s">
        <v>57</v>
      </c>
      <c r="D228" s="89">
        <v>46251</v>
      </c>
      <c r="E228" s="89">
        <v>46281</v>
      </c>
      <c r="F228" s="35">
        <f t="shared" si="36"/>
        <v>31</v>
      </c>
      <c r="G228" s="67">
        <v>450</v>
      </c>
      <c r="H228" s="67">
        <v>550</v>
      </c>
      <c r="I228" s="69">
        <f t="shared" si="44"/>
        <v>3.9426523297491037E-2</v>
      </c>
      <c r="J228" s="74" t="str">
        <f t="shared" si="37"/>
        <v/>
      </c>
      <c r="K228" s="71" t="b">
        <f>FALSE()</f>
        <v>0</v>
      </c>
      <c r="L228" s="72" t="str">
        <f t="shared" si="38"/>
        <v/>
      </c>
      <c r="M228" s="73" t="b">
        <f>FALSE()</f>
        <v>0</v>
      </c>
      <c r="N228" s="74" t="str">
        <f t="shared" si="39"/>
        <v/>
      </c>
      <c r="O228" s="71" t="b">
        <f>FALSE()</f>
        <v>0</v>
      </c>
      <c r="P228" s="72" t="str">
        <f t="shared" si="40"/>
        <v/>
      </c>
      <c r="Q228" s="73" t="b">
        <f>FALSE()</f>
        <v>0</v>
      </c>
      <c r="R228" s="74" t="str">
        <f t="shared" si="41"/>
        <v/>
      </c>
      <c r="S228" s="71" t="b">
        <f>FALSE()</f>
        <v>0</v>
      </c>
      <c r="T228" s="72"/>
      <c r="U228" s="71" t="b">
        <f>FALSE()</f>
        <v>0</v>
      </c>
      <c r="V228" s="76">
        <f t="shared" si="43"/>
        <v>3.9426523297491037E-2</v>
      </c>
      <c r="W228" s="71" t="b">
        <f>TRUE()</f>
        <v>1</v>
      </c>
      <c r="X228" s="72" t="str">
        <f t="shared" si="42"/>
        <v/>
      </c>
      <c r="Y228" s="71" t="b">
        <f>FALSE()</f>
        <v>0</v>
      </c>
    </row>
    <row r="229" spans="1:25" ht="14" x14ac:dyDescent="0.3">
      <c r="A229" s="10">
        <v>227</v>
      </c>
      <c r="B229" s="49" t="s">
        <v>244</v>
      </c>
      <c r="C229" s="49" t="s">
        <v>245</v>
      </c>
      <c r="D229" s="89">
        <v>46254</v>
      </c>
      <c r="E229" s="89">
        <v>46284</v>
      </c>
      <c r="F229" s="35">
        <f t="shared" si="36"/>
        <v>31</v>
      </c>
      <c r="G229" s="67">
        <v>450</v>
      </c>
      <c r="H229" s="67">
        <v>810</v>
      </c>
      <c r="I229" s="69">
        <f t="shared" si="44"/>
        <v>5.8064516129032261E-2</v>
      </c>
      <c r="J229" s="74" t="str">
        <f t="shared" si="37"/>
        <v/>
      </c>
      <c r="K229" s="71" t="b">
        <f>FALSE()</f>
        <v>0</v>
      </c>
      <c r="L229" s="72" t="str">
        <f t="shared" si="38"/>
        <v/>
      </c>
      <c r="M229" s="73" t="b">
        <f>FALSE()</f>
        <v>0</v>
      </c>
      <c r="N229" s="74" t="str">
        <f t="shared" si="39"/>
        <v/>
      </c>
      <c r="O229" s="71" t="b">
        <f>FALSE()</f>
        <v>0</v>
      </c>
      <c r="P229" s="72" t="str">
        <f t="shared" si="40"/>
        <v/>
      </c>
      <c r="Q229" s="73" t="b">
        <f>FALSE()</f>
        <v>0</v>
      </c>
      <c r="R229" s="74" t="str">
        <f t="shared" si="41"/>
        <v/>
      </c>
      <c r="S229" s="71" t="b">
        <f>FALSE()</f>
        <v>0</v>
      </c>
      <c r="T229" s="72" t="s">
        <v>246</v>
      </c>
      <c r="U229" s="71" t="b">
        <f>TRUE()</f>
        <v>1</v>
      </c>
      <c r="V229" s="72" t="str">
        <f t="shared" si="43"/>
        <v/>
      </c>
      <c r="W229" s="71" t="b">
        <f>FALSE()</f>
        <v>0</v>
      </c>
      <c r="X229" s="72" t="str">
        <f t="shared" si="42"/>
        <v/>
      </c>
      <c r="Y229" s="71" t="b">
        <f>FALSE()</f>
        <v>0</v>
      </c>
    </row>
    <row r="230" spans="1:25" ht="14" x14ac:dyDescent="0.3">
      <c r="A230" s="10">
        <v>228</v>
      </c>
      <c r="B230" s="49" t="s">
        <v>147</v>
      </c>
      <c r="C230" s="49" t="s">
        <v>247</v>
      </c>
      <c r="D230" s="89">
        <v>46258</v>
      </c>
      <c r="E230" s="89">
        <v>46288</v>
      </c>
      <c r="F230" s="35">
        <f t="shared" si="36"/>
        <v>31</v>
      </c>
      <c r="G230" s="67">
        <v>900</v>
      </c>
      <c r="H230" s="67">
        <v>1530</v>
      </c>
      <c r="I230" s="69">
        <f t="shared" si="44"/>
        <v>5.4838709677419356E-2</v>
      </c>
      <c r="J230" s="70">
        <f t="shared" si="37"/>
        <v>5.4838709677419356E-2</v>
      </c>
      <c r="K230" s="71" t="b">
        <f>TRUE()</f>
        <v>1</v>
      </c>
      <c r="L230" s="72" t="str">
        <f t="shared" si="38"/>
        <v/>
      </c>
      <c r="M230" s="73" t="b">
        <f>FALSE()</f>
        <v>0</v>
      </c>
      <c r="N230" s="74" t="str">
        <f t="shared" si="39"/>
        <v/>
      </c>
      <c r="O230" s="71" t="b">
        <f>FALSE()</f>
        <v>0</v>
      </c>
      <c r="P230" s="72" t="str">
        <f t="shared" si="40"/>
        <v/>
      </c>
      <c r="Q230" s="73" t="b">
        <f>FALSE()</f>
        <v>0</v>
      </c>
      <c r="R230" s="74" t="str">
        <f t="shared" si="41"/>
        <v/>
      </c>
      <c r="S230" s="71" t="b">
        <f>FALSE()</f>
        <v>0</v>
      </c>
      <c r="T230" s="72"/>
      <c r="U230" s="71" t="b">
        <f>FALSE()</f>
        <v>0</v>
      </c>
      <c r="V230" s="76">
        <f t="shared" si="43"/>
        <v>5.4838709677419356E-2</v>
      </c>
      <c r="W230" s="71" t="b">
        <f>TRUE()</f>
        <v>1</v>
      </c>
      <c r="X230" s="72" t="str">
        <f t="shared" si="42"/>
        <v/>
      </c>
      <c r="Y230" s="71" t="b">
        <f>FALSE()</f>
        <v>0</v>
      </c>
    </row>
    <row r="231" spans="1:25" ht="14" x14ac:dyDescent="0.3">
      <c r="A231" s="10">
        <v>229</v>
      </c>
      <c r="B231" s="49" t="inlineStr">
        <is>
          <t xml:space="preserve">ALMACENES VIDRI</t>
        </is>
      </c>
      <c r="C231" s="49" t="inlineStr">
        <is>
          <t xml:space="preserve">REMODELACION DESCUENTOS</t>
        </is>
      </c>
      <c r="D231" s="89" t="n">
        <v>46266</v>
      </c>
      <c r="E231" s="89" t="n">
        <v>46295</v>
      </c>
      <c r="F231" s="35" t="n">
        <f t="shared" si="36"/>
        <v>30</v>
      </c>
      <c r="G231" s="67" t="n">
        <v>450</v>
      </c>
      <c r="H231" s="67" t="n">
        <v>650</v>
      </c>
      <c r="I231" s="69" t="n">
        <f t="shared" si="44"/>
        <v>0.04814814814814815</v>
      </c>
      <c r="J231" s="74" t="str">
        <f t="shared" si="37"/>
        <v/>
      </c>
      <c r="K231" s="71" t="b">
        <f aca="false">FALSE()</f>
        <v>0</v>
      </c>
      <c r="L231" s="72" t="str">
        <f t="shared" si="38"/>
        <v/>
      </c>
      <c r="M231" s="73" t="b">
        <f aca="false">FALSE()</f>
        <v>0</v>
      </c>
      <c r="N231" s="70" t="n">
        <f t="shared" si="39"/>
        <v>0.04814814814814815</v>
      </c>
      <c r="O231" s="71" t="b">
        <f aca="false">TRUE()</f>
        <v>1</v>
      </c>
      <c r="P231" s="72" t="str">
        <f t="shared" si="40"/>
        <v/>
      </c>
      <c r="Q231" s="73" t="b">
        <f aca="false">FALSE()</f>
        <v>0</v>
      </c>
      <c r="R231" s="74" t="str">
        <f t="shared" si="41"/>
        <v/>
      </c>
      <c r="S231" s="71" t="b">
        <f aca="false">FALSE()</f>
        <v>0</v>
      </c>
      <c r="T231" s="72" t="str">
        <v/>
      </c>
      <c r="U231" s="71" t="b">
        <f aca="false">FALSE()</f>
        <v>0</v>
      </c>
      <c r="V231" s="72" t="str">
        <f t="shared" si="43"/>
        <v/>
      </c>
      <c r="W231" s="71" t="b">
        <f aca="false">FALSE()</f>
        <v>0</v>
      </c>
      <c r="X231" s="72" t="str">
        <f t="shared" si="42"/>
        <v/>
      </c>
      <c r="Y231" s="71" t="b">
        <f aca="false">FALSE()</f>
        <v>0</v>
      </c>
      <c r="Z231"/>
      <c r="AA231" t="inlineStr">
        <is>
          <t xml:space="preserve">PANAM</t>
        </is>
      </c>
      <c r="AB231"/>
    </row>
    <row r="232" spans="1:25" ht="14" x14ac:dyDescent="0.3">
      <c r="A232" s="10">
        <v>230</v>
      </c>
      <c r="B232" s="49" t="inlineStr">
        <is>
          <t xml:space="preserve">SIMAN</t>
        </is>
      </c>
      <c r="C232" s="49" t="inlineStr">
        <is>
          <t xml:space="preserve">VARIAS</t>
        </is>
      </c>
      <c r="D232" s="89" t="n">
        <v>46266</v>
      </c>
      <c r="E232" s="89" t="n">
        <v>46295</v>
      </c>
      <c r="F232" s="35" t="n">
        <f t="shared" si="36"/>
        <v>30</v>
      </c>
      <c r="G232" s="67" t="n">
        <v>450</v>
      </c>
      <c r="H232" s="67" t="n">
        <v>810</v>
      </c>
      <c r="I232" s="69" t="n">
        <f t="shared" si="44"/>
        <v>0.06</v>
      </c>
      <c r="J232" s="70" t="n">
        <f t="shared" si="37"/>
        <v>0.06</v>
      </c>
      <c r="K232" s="71" t="b">
        <f aca="false">TRUE()</f>
        <v>1</v>
      </c>
      <c r="L232" s="72" t="str">
        <f t="shared" si="38"/>
        <v/>
      </c>
      <c r="M232" s="73" t="b">
        <f aca="false">FALSE()</f>
        <v>0</v>
      </c>
      <c r="N232" s="74" t="str">
        <f t="shared" si="39"/>
        <v/>
      </c>
      <c r="O232" s="71" t="b">
        <f aca="false">FALSE()</f>
        <v>0</v>
      </c>
      <c r="P232" s="72" t="str">
        <f t="shared" si="40"/>
        <v/>
      </c>
      <c r="Q232" s="73" t="b">
        <f aca="false">FALSE()</f>
        <v>0</v>
      </c>
      <c r="R232" s="74" t="str">
        <f t="shared" si="41"/>
        <v/>
      </c>
      <c r="S232" s="71" t="b">
        <f aca="false">FALSE()</f>
        <v>0</v>
      </c>
      <c r="T232" s="72" t="str">
        <v/>
      </c>
      <c r="U232" s="71" t="b">
        <f aca="false">FALSE()</f>
        <v>0</v>
      </c>
      <c r="V232" s="72" t="str">
        <f t="shared" si="43"/>
        <v/>
      </c>
      <c r="W232" s="71" t="b">
        <f aca="false">FALSE()</f>
        <v>0</v>
      </c>
      <c r="X232" s="72" t="str">
        <f t="shared" si="42"/>
        <v/>
      </c>
      <c r="Y232" s="71" t="b">
        <f aca="false">FALSE()</f>
        <v>0</v>
      </c>
      <c r="Z232"/>
      <c r="AA232" t="inlineStr">
        <is>
          <t xml:space="preserve">PROCE</t>
        </is>
      </c>
      <c r="AB232"/>
    </row>
    <row r="233" spans="1:25" ht="14" x14ac:dyDescent="0.3">
      <c r="A233" s="10">
        <v>231</v>
      </c>
      <c r="B233" s="49" t="inlineStr">
        <is>
          <t xml:space="preserve">GRIIN FLEX</t>
        </is>
      </c>
      <c r="C233" s="49" t="inlineStr">
        <is>
          <t xml:space="preserve">GRIIN FLEX</t>
        </is>
      </c>
      <c r="D233" s="89" t="n">
        <v>46266</v>
      </c>
      <c r="E233" s="89" t="n">
        <v>46295</v>
      </c>
      <c r="F233" s="35" t="n">
        <f t="shared" si="36"/>
        <v>30</v>
      </c>
      <c r="G233" s="67" t="n">
        <v>300</v>
      </c>
      <c r="H233" s="67" t="n">
        <v>550</v>
      </c>
      <c r="I233" s="69" t="n">
        <f t="shared" si="44"/>
        <v>0.06111111111111111</v>
      </c>
      <c r="J233" s="70" t="n">
        <f t="shared" si="37"/>
        <v>0.06111111111111111</v>
      </c>
      <c r="K233" s="71" t="b">
        <f aca="false">TRUE()</f>
        <v>1</v>
      </c>
      <c r="L233" s="72" t="str">
        <f t="shared" si="38"/>
        <v/>
      </c>
      <c r="M233" s="73" t="b">
        <f aca="false">FALSE()</f>
        <v>0</v>
      </c>
      <c r="N233" s="74" t="str">
        <f t="shared" si="39"/>
        <v/>
      </c>
      <c r="O233" s="71" t="b">
        <f aca="false">FALSE()</f>
        <v>0</v>
      </c>
      <c r="P233" s="72" t="str">
        <f t="shared" si="40"/>
        <v/>
      </c>
      <c r="Q233" s="73" t="b">
        <f aca="false">FALSE()</f>
        <v>0</v>
      </c>
      <c r="R233" s="74" t="str">
        <f t="shared" si="41"/>
        <v/>
      </c>
      <c r="S233" s="71" t="b">
        <f aca="false">FALSE()</f>
        <v>0</v>
      </c>
      <c r="T233" s="72" t="str">
        <v/>
      </c>
      <c r="U233" s="71" t="b">
        <f aca="false">FALSE()</f>
        <v>0</v>
      </c>
      <c r="V233" s="72" t="str">
        <f t="shared" si="43"/>
        <v/>
      </c>
      <c r="W233" s="71" t="b">
        <f aca="false">FALSE()</f>
        <v>0</v>
      </c>
      <c r="X233" s="72" t="str">
        <f t="shared" si="42"/>
        <v/>
      </c>
      <c r="Y233" s="71" t="b">
        <f aca="false">FALSE()</f>
        <v>0</v>
      </c>
      <c r="Z233"/>
      <c r="AA233" t="inlineStr">
        <is>
          <t xml:space="preserve">PROCE</t>
        </is>
      </c>
      <c r="AB233"/>
    </row>
    <row r="234" spans="1:25" ht="14" x14ac:dyDescent="0.3">
      <c r="A234" s="10">
        <v>232</v>
      </c>
      <c r="B234" s="49" t="inlineStr">
        <is>
          <t xml:space="preserve">MISTER DONUT</t>
        </is>
      </c>
      <c r="C234" s="49" t="inlineStr">
        <is>
          <t xml:space="preserve">2 X 1</t>
        </is>
      </c>
      <c r="D234" s="89" t="n">
        <v>46023</v>
      </c>
      <c r="E234" s="89" t="n">
        <v>46387</v>
      </c>
      <c r="F234" s="35" t="n">
        <f t="shared" si="36"/>
        <v>365</v>
      </c>
      <c r="G234" s="67" t="n">
        <v>450</v>
      </c>
      <c r="H234" s="67"/>
      <c r="I234" s="69" t="str">
        <f t="shared" si="44"/>
        <v/>
      </c>
      <c r="J234" s="70" t="str">
        <f t="shared" si="37"/>
        <v/>
      </c>
      <c r="K234" s="71" t="b">
        <f aca="false">TRUE()</f>
        <v>1</v>
      </c>
      <c r="L234" s="72" t="str">
        <f t="shared" si="38"/>
        <v/>
      </c>
      <c r="M234" s="73" t="b">
        <f aca="false">FALSE()</f>
        <v>0</v>
      </c>
      <c r="N234" s="74" t="str">
        <f t="shared" si="39"/>
        <v/>
      </c>
      <c r="O234" s="71" t="b">
        <f aca="false">FALSE()</f>
        <v>0</v>
      </c>
      <c r="P234" s="76" t="str">
        <f t="shared" si="40"/>
        <v/>
      </c>
      <c r="Q234" s="73" t="b">
        <f aca="false">FALSE()</f>
        <v>0</v>
      </c>
      <c r="R234" s="74" t="str">
        <f t="shared" si="41"/>
        <v/>
      </c>
      <c r="S234" s="71" t="b">
        <f aca="false">FALSE()</f>
        <v>0</v>
      </c>
      <c r="T234" s="72" t="str">
        <v/>
      </c>
      <c r="U234" s="71" t="b">
        <f aca="false">FALSE()</f>
        <v>0</v>
      </c>
      <c r="V234" s="72" t="str">
        <f t="shared" si="43"/>
        <v/>
      </c>
      <c r="W234" s="71" t="b">
        <f aca="false">FALSE()</f>
        <v>0</v>
      </c>
      <c r="X234" s="72" t="str">
        <f t="shared" si="42"/>
        <v/>
      </c>
      <c r="Y234" s="71" t="b">
        <f aca="false">FALSE()</f>
        <v>0</v>
      </c>
      <c r="Z234"/>
      <c r="AA234" t="inlineStr">
        <is>
          <t xml:space="preserve">PROCE</t>
        </is>
      </c>
      <c r="AB234"/>
    </row>
    <row r="235" spans="1:25" ht="14" x14ac:dyDescent="0.3">
      <c r="A235" s="10">
        <v>233</v>
      </c>
      <c r="B235" s="49" t="inlineStr">
        <is>
          <t xml:space="preserve">CONFORTSTAR / AIREFRIO</t>
        </is>
      </c>
      <c r="C235" s="49" t="inlineStr">
        <is>
          <t xml:space="preserve">Somos pasión</t>
        </is>
      </c>
      <c r="D235" s="89" t="n">
        <v>46246</v>
      </c>
      <c r="E235" s="89" t="n">
        <v>46276</v>
      </c>
      <c r="F235" s="35" t="n">
        <f t="shared" si="36"/>
        <v>31</v>
      </c>
      <c r="G235" s="67" t="n">
        <v>450</v>
      </c>
      <c r="H235" s="67"/>
      <c r="I235" s="69" t="str">
        <f t="shared" si="44"/>
        <v/>
      </c>
      <c r="J235" s="74" t="str">
        <f t="shared" si="37"/>
        <v/>
      </c>
      <c r="K235" s="71" t="b">
        <f aca="false">FALSE()</f>
        <v>0</v>
      </c>
      <c r="L235" s="72" t="str">
        <f t="shared" si="38"/>
        <v/>
      </c>
      <c r="M235" s="73" t="b">
        <f aca="false">FALSE()</f>
        <v>0</v>
      </c>
      <c r="N235" s="74" t="str">
        <f t="shared" si="39"/>
        <v/>
      </c>
      <c r="O235" s="71" t="b">
        <f aca="false">FALSE()</f>
        <v>0</v>
      </c>
      <c r="P235" s="76" t="str">
        <f t="shared" si="40"/>
        <v/>
      </c>
      <c r="Q235" s="73" t="b">
        <f aca="false">TRUE()</f>
        <v>1</v>
      </c>
      <c r="R235" s="74" t="str">
        <f t="shared" si="41"/>
        <v/>
      </c>
      <c r="S235" s="71" t="b">
        <f aca="false">FALSE()</f>
        <v>0</v>
      </c>
      <c r="T235" s="72" t="str">
        <v/>
      </c>
      <c r="U235" s="71" t="b">
        <f aca="false">FALSE()</f>
        <v>0</v>
      </c>
      <c r="V235" s="72" t="str">
        <f t="shared" si="43"/>
        <v/>
      </c>
      <c r="W235" s="71" t="b">
        <f aca="false">FALSE()</f>
        <v>0</v>
      </c>
      <c r="X235" s="72" t="str">
        <f t="shared" si="42"/>
        <v/>
      </c>
      <c r="Y235" s="71" t="b">
        <f aca="false">FALSE()</f>
        <v>0</v>
      </c>
      <c r="Z235"/>
      <c r="AA235" t="inlineStr">
        <is>
          <t xml:space="preserve">SDM</t>
        </is>
      </c>
      <c r="AB235"/>
    </row>
    <row r="236" spans="1:25" ht="14" x14ac:dyDescent="0.3">
      <c r="A236" s="10">
        <v>234</v>
      </c>
      <c r="B236" s="49" t="inlineStr">
        <is>
          <t xml:space="preserve">FRIOAIRE</t>
        </is>
      </c>
      <c r="C236" s="49" t="inlineStr">
        <is>
          <t xml:space="preserve">GENERICO</t>
        </is>
      </c>
      <c r="D236" s="89" t="n">
        <v>46277</v>
      </c>
      <c r="E236" s="89" t="n">
        <v>46367</v>
      </c>
      <c r="F236" s="35" t="n">
        <f t="shared" si="36"/>
        <v>91</v>
      </c>
      <c r="G236" s="67" t="n">
        <v>600</v>
      </c>
      <c r="H236" s="67" t="n">
        <v>3300</v>
      </c>
      <c r="I236" s="69" t="n">
        <f t="shared" si="44"/>
        <v>0.06043956043956044</v>
      </c>
      <c r="J236" s="74" t="str">
        <f t="shared" si="37"/>
        <v/>
      </c>
      <c r="K236" s="71" t="b">
        <f aca="false">FALSE()</f>
        <v>0</v>
      </c>
      <c r="L236" s="72" t="str">
        <f t="shared" si="38"/>
        <v/>
      </c>
      <c r="M236" s="73" t="b">
        <f aca="false">FALSE()</f>
        <v>0</v>
      </c>
      <c r="N236" s="74" t="str">
        <f t="shared" si="39"/>
        <v/>
      </c>
      <c r="O236" s="71" t="b">
        <f aca="false">FALSE()</f>
        <v>0</v>
      </c>
      <c r="P236" s="76" t="n">
        <f t="shared" si="40"/>
        <v>0.06043956043956044</v>
      </c>
      <c r="Q236" s="73" t="b">
        <f aca="false">TRUE()</f>
        <v>1</v>
      </c>
      <c r="R236" s="74" t="str">
        <f t="shared" si="41"/>
        <v/>
      </c>
      <c r="S236" s="71" t="b">
        <f aca="false">FALSE()</f>
        <v>0</v>
      </c>
      <c r="T236" s="72" t="n">
        <v>0.06043956043956044</v>
      </c>
      <c r="U236" s="71" t="b">
        <f aca="false">TRUE()</f>
        <v>1</v>
      </c>
      <c r="V236" s="72" t="str">
        <f t="shared" si="43"/>
        <v/>
      </c>
      <c r="W236" s="71" t="b">
        <f aca="false">FALSE()</f>
        <v>0</v>
      </c>
      <c r="X236" s="72" t="str">
        <f t="shared" si="42"/>
        <v/>
      </c>
      <c r="Y236" s="71" t="b">
        <f aca="false">FALSE()</f>
        <v>0</v>
      </c>
      <c r="Z236"/>
      <c r="AA236" t="inlineStr">
        <is>
          <t xml:space="preserve">SDM, BENITO</t>
        </is>
      </c>
      <c r="AB236"/>
    </row>
    <row r="237" spans="1:25" ht="14" x14ac:dyDescent="0.3">
      <c r="A237" s="10">
        <v>235</v>
      </c>
      <c r="B237" s="49" t="inlineStr">
        <is>
          <t xml:space="preserve">CONAMIPE / CAPRES</t>
        </is>
      </c>
      <c r="C237" s="49" t="inlineStr">
        <is>
          <t xml:space="preserve">FAMILIA</t>
        </is>
      </c>
      <c r="D237" s="89" t="n">
        <v>46269</v>
      </c>
      <c r="E237" s="89" t="n">
        <v>46295</v>
      </c>
      <c r="F237" s="35" t="n">
        <f t="shared" si="36"/>
        <v>27</v>
      </c>
      <c r="G237" s="67" t="n">
        <v>900</v>
      </c>
      <c r="H237" s="67" t="n">
        <v>1387.92</v>
      </c>
      <c r="I237" s="69" t="n">
        <f t="shared" si="44"/>
        <v>0.057116049382716055</v>
      </c>
      <c r="J237" s="74" t="str">
        <f t="shared" si="37"/>
        <v/>
      </c>
      <c r="K237" s="71" t="b">
        <f aca="false">FALSE()</f>
        <v>0</v>
      </c>
      <c r="L237" s="72" t="str">
        <f t="shared" si="38"/>
        <v/>
      </c>
      <c r="M237" s="73" t="b">
        <f aca="false">FALSE()</f>
        <v>0</v>
      </c>
      <c r="N237" s="74" t="str">
        <f t="shared" si="39"/>
        <v/>
      </c>
      <c r="O237" s="71" t="b">
        <f aca="false">FALSE()</f>
        <v>0</v>
      </c>
      <c r="P237" s="76" t="n">
        <f t="shared" si="40"/>
        <v>0.057116049382716055</v>
      </c>
      <c r="Q237" s="73" t="b">
        <f aca="false">TRUE()</f>
        <v>1</v>
      </c>
      <c r="R237" s="74" t="str">
        <f t="shared" si="41"/>
        <v/>
      </c>
      <c r="S237" s="71" t="b">
        <f aca="false">FALSE()</f>
        <v>0</v>
      </c>
      <c r="T237" s="72" t="n">
        <v>0.057116049382716055</v>
      </c>
      <c r="U237" s="71" t="b">
        <f aca="false">TRUE()</f>
        <v>1</v>
      </c>
      <c r="V237" s="72" t="str">
        <f t="shared" si="43"/>
        <v/>
      </c>
      <c r="W237" s="71" t="b">
        <f aca="false">FALSE()</f>
        <v>0</v>
      </c>
      <c r="X237" s="72" t="str">
        <f t="shared" si="42"/>
        <v/>
      </c>
      <c r="Y237" s="71" t="b">
        <f aca="false">FALSE()</f>
        <v>0</v>
      </c>
      <c r="Z237"/>
      <c r="AA237" t="inlineStr">
        <is>
          <t xml:space="preserve">SDM, BENITO</t>
        </is>
      </c>
      <c r="AB237"/>
    </row>
    <row r="238" spans="1:25" ht="14" x14ac:dyDescent="0.3">
      <c r="A238" s="10">
        <v>236</v>
      </c>
      <c r="B238" s="49" t="inlineStr">
        <is>
          <t xml:space="preserve">Walmart</t>
        </is>
      </c>
      <c r="C238" s="49" t="inlineStr">
        <is>
          <t xml:space="preserve">Generico</t>
        </is>
      </c>
      <c r="D238" s="89" t="n">
        <v>46266</v>
      </c>
      <c r="E238" s="89" t="n">
        <v>46295</v>
      </c>
      <c r="F238" s="35" t="n">
        <f t="shared" si="36"/>
        <v>30</v>
      </c>
      <c r="G238" s="67" t="n">
        <v>450</v>
      </c>
      <c r="H238" s="67" t="n">
        <v>600</v>
      </c>
      <c r="I238" s="69" t="n">
        <f t="shared" si="44"/>
        <v>0.044444444444444446</v>
      </c>
      <c r="J238" s="74" t="str">
        <f t="shared" si="37"/>
        <v/>
      </c>
      <c r="K238" s="71" t="b">
        <f aca="false">FALSE()</f>
        <v>0</v>
      </c>
      <c r="L238" s="72" t="str">
        <f t="shared" si="38"/>
        <v/>
      </c>
      <c r="M238" s="73" t="b">
        <f aca="false">FALSE()</f>
        <v>0</v>
      </c>
      <c r="N238" s="74" t="str">
        <f t="shared" si="39"/>
        <v/>
      </c>
      <c r="O238" s="71" t="b">
        <f aca="false">FALSE()</f>
        <v>0</v>
      </c>
      <c r="P238" s="72" t="str">
        <f t="shared" si="40"/>
        <v/>
      </c>
      <c r="Q238" s="73" t="b">
        <f aca="false">FALSE()</f>
        <v>0</v>
      </c>
      <c r="R238" s="74" t="str">
        <f t="shared" si="41"/>
        <v/>
      </c>
      <c r="S238" s="71" t="b">
        <f aca="false">FALSE()</f>
        <v>0</v>
      </c>
      <c r="T238" s="72" t="n">
        <v>0.044444444444444446</v>
      </c>
      <c r="U238" s="71" t="b">
        <f aca="false">TRUE()</f>
        <v>1</v>
      </c>
      <c r="V238" s="72" t="str">
        <f t="shared" si="43"/>
        <v/>
      </c>
      <c r="W238" s="71" t="b">
        <f aca="false">FALSE()</f>
        <v>0</v>
      </c>
      <c r="X238" s="72" t="str">
        <f t="shared" si="42"/>
        <v/>
      </c>
      <c r="Y238" s="71" t="b">
        <f aca="false">FALSE()</f>
        <v>0</v>
      </c>
      <c r="Z238"/>
      <c r="AA238" t="inlineStr">
        <is>
          <t xml:space="preserve">BENITO</t>
        </is>
      </c>
      <c r="AB238"/>
    </row>
    <row r="239" spans="1:25" ht="14" x14ac:dyDescent="0.3">
      <c r="A239" s="10">
        <v>237</v>
      </c>
      <c r="B239" s="49" t="inlineStr">
        <is>
          <t xml:space="preserve">Viro Grip</t>
        </is>
      </c>
      <c r="C239" s="49" t="inlineStr">
        <is>
          <t xml:space="preserve">GENERICO</t>
        </is>
      </c>
      <c r="D239" s="89" t="n">
        <v>46266</v>
      </c>
      <c r="E239" s="89" t="n">
        <v>46295</v>
      </c>
      <c r="F239" s="35" t="n">
        <f t="shared" si="36"/>
        <v>30</v>
      </c>
      <c r="G239" s="67" t="n">
        <v>600</v>
      </c>
      <c r="H239" s="67" t="n">
        <v>1100</v>
      </c>
      <c r="I239" s="69" t="n">
        <f t="shared" si="44"/>
        <v>0.06111111111111111</v>
      </c>
      <c r="J239" s="74" t="str">
        <f t="shared" si="37"/>
        <v/>
      </c>
      <c r="K239" s="71" t="b">
        <f aca="false">FALSE()</f>
        <v>0</v>
      </c>
      <c r="L239" s="72" t="str">
        <f t="shared" si="38"/>
        <v/>
      </c>
      <c r="M239" s="73" t="b">
        <f aca="false">FALSE()</f>
        <v>0</v>
      </c>
      <c r="N239" s="74" t="str">
        <f t="shared" si="39"/>
        <v/>
      </c>
      <c r="O239" s="71" t="b">
        <f aca="false">FALSE()</f>
        <v>0</v>
      </c>
      <c r="P239" s="76" t="n">
        <f t="shared" si="40"/>
        <v>0.06111111111111111</v>
      </c>
      <c r="Q239" s="73" t="b">
        <f aca="false">TRUE()</f>
        <v>1</v>
      </c>
      <c r="R239" s="70" t="n">
        <f t="shared" si="41"/>
        <v>0.06111111111111111</v>
      </c>
      <c r="S239" s="71" t="b">
        <f aca="false">TRUE()</f>
        <v>1</v>
      </c>
      <c r="T239" s="72" t="str">
        <v/>
      </c>
      <c r="U239" s="71" t="b">
        <f aca="false">FALSE()</f>
        <v>0</v>
      </c>
      <c r="V239" s="72" t="str">
        <f t="shared" si="43"/>
        <v/>
      </c>
      <c r="W239" s="71" t="b">
        <f aca="false">FALSE()</f>
        <v>0</v>
      </c>
      <c r="X239" s="72" t="str">
        <f t="shared" si="42"/>
        <v/>
      </c>
      <c r="Y239" s="71" t="b">
        <f aca="false">FALSE()</f>
        <v>0</v>
      </c>
      <c r="Z239"/>
      <c r="AA239" t="inlineStr">
        <is>
          <t xml:space="preserve">SDM, HEROE</t>
        </is>
      </c>
      <c r="AB239"/>
    </row>
    <row r="240" spans="1:25" ht="14" x14ac:dyDescent="0.3">
      <c r="A240" s="10">
        <v>238</v>
      </c>
      <c r="B240" s="49" t="inlineStr">
        <is>
          <t xml:space="preserve">ALCALDIA DE AHUACHAPAN</t>
        </is>
      </c>
      <c r="C240" s="49" t="inlineStr">
        <is>
          <t xml:space="preserve">DIA DE LOS FAROLITOS</t>
        </is>
      </c>
      <c r="D240" s="89" t="n">
        <v>46265</v>
      </c>
      <c r="E240" s="89" t="n">
        <v>46272</v>
      </c>
      <c r="F240" s="35" t="n">
        <f t="shared" si="36"/>
        <v>8</v>
      </c>
      <c r="G240" s="67" t="n">
        <v>900</v>
      </c>
      <c r="H240" s="67"/>
      <c r="I240" s="69" t="str">
        <f t="shared" si="44"/>
        <v/>
      </c>
      <c r="J240" s="74" t="str">
        <f t="shared" si="37"/>
        <v/>
      </c>
      <c r="K240" s="71" t="b">
        <f aca="false">FALSE()</f>
        <v>0</v>
      </c>
      <c r="L240" s="72" t="str">
        <f t="shared" si="38"/>
        <v/>
      </c>
      <c r="M240" s="73" t="b">
        <f aca="false">FALSE()</f>
        <v>0</v>
      </c>
      <c r="N240" s="70" t="str">
        <f t="shared" si="39"/>
        <v/>
      </c>
      <c r="O240" s="71" t="b">
        <f aca="false">TRUE()</f>
        <v>1</v>
      </c>
      <c r="P240" s="72" t="str">
        <f t="shared" si="40"/>
        <v/>
      </c>
      <c r="Q240" s="73" t="b">
        <f aca="false">FALSE()</f>
        <v>0</v>
      </c>
      <c r="R240" s="74" t="str">
        <f t="shared" si="41"/>
        <v/>
      </c>
      <c r="S240" s="71" t="b">
        <f aca="false">FALSE()</f>
        <v>0</v>
      </c>
      <c r="T240" s="72" t="str">
        <v/>
      </c>
      <c r="U240" s="71" t="b">
        <f aca="false">TRUE()</f>
        <v>1</v>
      </c>
      <c r="V240" s="72" t="str">
        <f t="shared" si="43"/>
        <v/>
      </c>
      <c r="W240" s="71" t="b">
        <f aca="false">FALSE()</f>
        <v>0</v>
      </c>
      <c r="X240" s="72" t="str">
        <f t="shared" si="42"/>
        <v/>
      </c>
      <c r="Y240" s="71" t="b">
        <f aca="false">FALSE()</f>
        <v>0</v>
      </c>
      <c r="Z240" t="inlineStr">
        <is>
          <t xml:space="preserve">Donación</t>
        </is>
      </c>
      <c r="AA240" t="inlineStr">
        <is>
          <t xml:space="preserve">PANAM, BENITO, JUANPA</t>
        </is>
      </c>
      <c r="AB240"/>
    </row>
    <row r="241" spans="1:25" ht="14" x14ac:dyDescent="0.3">
      <c r="A241" s="10" t="n">
        <v>239</v>
      </c>
      <c r="B241" s="49" t="inlineStr">
        <is>
          <t xml:space="preserve">LA CURACAO</t>
        </is>
      </c>
      <c r="C241" s="49" t="inlineStr">
        <is>
          <t xml:space="preserve">LA CURACAO</t>
        </is>
      </c>
      <c r="D241" s="89" t="n">
        <v>46266</v>
      </c>
      <c r="E241" s="89" t="n">
        <v>46295</v>
      </c>
      <c r="F241" s="35" t="n">
        <f>(E241-D241)+1</f>
        <v>30</v>
      </c>
      <c r="G241" s="67" t="n">
        <v>900</v>
      </c>
      <c r="H241" s="67" t="n">
        <v>1450</v>
      </c>
      <c r="I241" s="69" t="n">
        <f>IFERROR(H241/(F241*G241),"")</f>
        <v>0.053703703703703705</v>
      </c>
      <c r="J241" s="70" t="n">
        <f>IF(K241=TRUE(),$I241,"")</f>
        <v>0.053703703703703705</v>
      </c>
      <c r="K241" s="71" t="b">
        <f aca="false">TRUE()</f>
        <v>1</v>
      </c>
      <c r="L241" s="72" t="str">
        <f>IF(M241=TRUE(),$I241,"")</f>
        <v/>
      </c>
      <c r="M241" s="73" t="b">
        <f aca="false">FALSE()</f>
        <v>0</v>
      </c>
      <c r="N241" s="70" t="str">
        <f>IF(O241=TRUE(),$I241,"")</f>
        <v/>
      </c>
      <c r="O241" s="71" t="b">
        <f aca="false">FALSE()</f>
        <v>0</v>
      </c>
      <c r="P241" s="72" t="str">
        <f>IF(Q241=TRUE(),$I241,"")</f>
        <v/>
      </c>
      <c r="Q241" s="73" t="b">
        <f aca="false">FALSE()</f>
        <v>0</v>
      </c>
      <c r="R241" s="74" t="str">
        <f>IF(S241=TRUE(),$I241,"")</f>
        <v/>
      </c>
      <c r="S241" s="71" t="b">
        <f aca="false">FALSE()</f>
        <v>0</v>
      </c>
      <c r="T241" s="72" t="str">
        <f>IF(U241=TRUE(),$I241,"")</f>
        <v/>
      </c>
      <c r="U241" s="71" t="b">
        <f aca="false">FALSE()</f>
        <v>0</v>
      </c>
      <c r="V241" s="72" t="str">
        <f>IF(W241=TRUE(),$I241,"")</f>
        <v/>
      </c>
      <c r="W241" s="71" t="b">
        <f aca="false">FALSE()</f>
        <v>0</v>
      </c>
      <c r="X241" s="72" t="str">
        <f>IF(Y241=TRUE(),$I241,"")</f>
        <v/>
      </c>
      <c r="Y241" s="71" t="b">
        <f aca="false">FALSE()</f>
        <v>0</v>
      </c>
      <c r="Z241"/>
      <c r="AA241" t="inlineStr">
        <is>
          <t xml:space="preserve">PROCE</t>
        </is>
      </c>
      <c r="AB241"/>
    </row>
    <row r="242" spans="1:25" ht="14" x14ac:dyDescent="0.3">
      <c r="A242" s="10" t="n">
        <v>240</v>
      </c>
      <c r="B242" s="49" t="inlineStr">
        <is>
          <t xml:space="preserve">BLT (IHOP/ APPLEBEE'S)</t>
        </is>
      </c>
      <c r="C242" s="49" t="inlineStr">
        <is>
          <t xml:space="preserve">Apertura</t>
        </is>
      </c>
      <c r="D242" s="89" t="n">
        <v>46327</v>
      </c>
      <c r="E242" s="89" t="n">
        <v>46386</v>
      </c>
      <c r="F242" s="35" t="n">
        <f>(E242-D242)+1</f>
        <v>60</v>
      </c>
      <c r="G242" s="67" t="n">
        <v>1500</v>
      </c>
      <c r="H242" s="67" t="n">
        <v>3800</v>
      </c>
      <c r="I242" s="69" t="n">
        <f>IFERROR(H242/(F242*G242),"")</f>
        <v>0.042222222222222223</v>
      </c>
      <c r="J242" s="70" t="str">
        <f>IF(K242=TRUE(),$I242,"")</f>
        <v/>
      </c>
      <c r="K242" s="71" t="b">
        <f aca="false">FALSE()</f>
        <v>0</v>
      </c>
      <c r="L242" s="76" t="n">
        <f>IF(M242=TRUE(),$I242,"")</f>
        <v>0.042222222222222223</v>
      </c>
      <c r="M242" s="73" t="b">
        <f aca="false">TRUE()</f>
        <v>1</v>
      </c>
      <c r="N242" s="70" t="n">
        <f>IF(O242=TRUE(),$I242,"")</f>
        <v>0.042222222222222223</v>
      </c>
      <c r="O242" s="71" t="b">
        <f aca="false">TRUE()</f>
        <v>1</v>
      </c>
      <c r="P242" s="76" t="n">
        <f>IF(Q242=TRUE(),$I242,"")</f>
        <v>0.042222222222222223</v>
      </c>
      <c r="Q242" s="73" t="b">
        <f aca="false">TRUE()</f>
        <v>1</v>
      </c>
      <c r="R242" s="74" t="str">
        <f>IF(S242=TRUE(),$I242,"")</f>
        <v/>
      </c>
      <c r="S242" s="71" t="b">
        <f aca="false">FALSE()</f>
        <v>0</v>
      </c>
      <c r="T242" s="72" t="n">
        <f>IF(U242=TRUE(),$I242,"")</f>
        <v>0.042222222222222223</v>
      </c>
      <c r="U242" s="71" t="b">
        <f aca="false">TRUE()</f>
        <v>1</v>
      </c>
      <c r="V242" s="76" t="n">
        <f>IF(W242=TRUE(),$I242,"")</f>
        <v>0.042222222222222223</v>
      </c>
      <c r="W242" s="71" t="b">
        <f aca="false">TRUE()</f>
        <v>1</v>
      </c>
      <c r="X242" s="72" t="str">
        <f>IF(Y242=TRUE(),$I242,"")</f>
        <v/>
      </c>
      <c r="Y242" s="71" t="b">
        <f aca="false">FALSE()</f>
        <v>0</v>
      </c>
      <c r="Z242" t="inlineStr">
        <is>
          <t xml:space="preserve">Bonificación: BENITO</t>
        </is>
      </c>
      <c r="AA242" t="inlineStr">
        <is>
          <t xml:space="preserve">SDM, PANAM, PASEO, JERUSA, BENITO</t>
        </is>
      </c>
      <c r="AB242"/>
    </row>
    <row r="243" spans="1:25" ht="14" x14ac:dyDescent="0.3">
      <c r="A243" s="10" t="n">
        <v>241</v>
      </c>
      <c r="B243" s="49" t="inlineStr">
        <is>
          <t xml:space="preserve">H&amp;M</t>
        </is>
      </c>
      <c r="C243" s="49" t="inlineStr">
        <is>
          <t xml:space="preserve">GENERICO</t>
        </is>
      </c>
      <c r="D243" s="89" t="n">
        <v>46296</v>
      </c>
      <c r="E243" s="89" t="n">
        <v>46315</v>
      </c>
      <c r="F243" s="35" t="n">
        <f>(E243-D243)+1</f>
        <v>20</v>
      </c>
      <c r="G243" s="67" t="n">
        <v>1800</v>
      </c>
      <c r="H243" s="67" t="n">
        <v>2400</v>
      </c>
      <c r="I243" s="69" t="n">
        <f>IFERROR(H243/(F243*G243),"")</f>
        <v>0.06666666666666667</v>
      </c>
      <c r="J243" s="70" t="n">
        <f>IF(K243=TRUE(),$I243,"")</f>
        <v>0.06666666666666667</v>
      </c>
      <c r="K243" s="71" t="b">
        <f aca="false">TRUE()</f>
        <v>1</v>
      </c>
      <c r="L243" s="76" t="str">
        <f>IF(M243=TRUE(),$I243,"")</f>
        <v/>
      </c>
      <c r="M243" s="73" t="b">
        <f aca="false">FALSE()</f>
        <v>0</v>
      </c>
      <c r="N243" s="70" t="str">
        <f>IF(O243=TRUE(),$I243,"")</f>
        <v/>
      </c>
      <c r="O243" s="71" t="b">
        <f aca="false">FALSE()</f>
        <v>0</v>
      </c>
      <c r="P243" s="76" t="str">
        <f>IF(Q243=TRUE(),$I243,"")</f>
        <v/>
      </c>
      <c r="Q243" s="73" t="b">
        <f aca="false">FALSE()</f>
        <v>0</v>
      </c>
      <c r="R243" s="74" t="str">
        <f>IF(S243=TRUE(),$I243,"")</f>
        <v/>
      </c>
      <c r="S243" s="71" t="b">
        <f aca="false">FALSE()</f>
        <v>0</v>
      </c>
      <c r="T243" s="72" t="n">
        <f>IF(U243=TRUE(),$I243,"")</f>
        <v>0.06666666666666667</v>
      </c>
      <c r="U243" s="71" t="b">
        <f aca="false">TRUE()</f>
        <v>1</v>
      </c>
      <c r="V243" s="76" t="n">
        <f>IF(W243=TRUE(),$I243,"")</f>
        <v>0.06666666666666667</v>
      </c>
      <c r="W243" s="71" t="b">
        <f aca="false">TRUE()</f>
        <v>1</v>
      </c>
      <c r="X243" s="72" t="str">
        <f>IF(Y243=TRUE(),$I243,"")</f>
        <v/>
      </c>
      <c r="Y243" s="71" t="b">
        <f aca="false">FALSE()</f>
        <v>0</v>
      </c>
      <c r="Z243" t="inlineStr">
        <is>
          <t xml:space="preserve">Bonificación: JUANPA</t>
        </is>
      </c>
      <c r="AA243" t="inlineStr">
        <is>
          <t xml:space="preserve">PROCE, JERUSA, BENITO, JUANPA</t>
        </is>
      </c>
      <c r="AB243"/>
    </row>
    <row r="244" spans="1:25" ht="14" x14ac:dyDescent="0.3">
      <c r="A244" s="10" t="n">
        <v>242</v>
      </c>
      <c r="B244" s="49" t="inlineStr">
        <is>
          <t xml:space="preserve">DUICENTRO</t>
        </is>
      </c>
      <c r="C244" s="49" t="inlineStr">
        <is>
          <t xml:space="preserve">RENUEVA TU DUI</t>
        </is>
      </c>
      <c r="D244" s="89" t="n">
        <v>46266</v>
      </c>
      <c r="E244" s="89" t="n">
        <v>46295</v>
      </c>
      <c r="F244" s="35" t="n">
        <f>(E244-D244)+1</f>
        <v>30</v>
      </c>
      <c r="G244" s="67" t="n">
        <v>1200</v>
      </c>
      <c r="H244" s="67" t="n">
        <v>2117.62</v>
      </c>
      <c r="I244" s="69" t="n">
        <f>IFERROR(H244/(F244*G244),"")</f>
        <v>0.05882277777777777</v>
      </c>
      <c r="J244" s="70" t="str">
        <f>IF(K244=TRUE(),$I244,"")</f>
        <v/>
      </c>
      <c r="K244" s="71" t="b">
        <f aca="false">FALSE()</f>
        <v>0</v>
      </c>
      <c r="L244" s="76" t="n">
        <f>IF(M244=TRUE(),$I244,"")</f>
        <v>0.05882277777777777</v>
      </c>
      <c r="M244" s="73" t="b">
        <f aca="false">TRUE()</f>
        <v>1</v>
      </c>
      <c r="N244" s="70" t="str">
        <f>IF(O244=TRUE(),$I244,"")</f>
        <v/>
      </c>
      <c r="O244" s="71" t="b">
        <f aca="false">FALSE()</f>
        <v>0</v>
      </c>
      <c r="P244" s="76" t="n">
        <f>IF(Q244=TRUE(),$I244,"")</f>
        <v>0.05882277777777777</v>
      </c>
      <c r="Q244" s="73" t="b">
        <f aca="false">TRUE()</f>
        <v>1</v>
      </c>
      <c r="R244" s="74" t="str">
        <f>IF(S244=TRUE(),$I244,"")</f>
        <v/>
      </c>
      <c r="S244" s="71" t="b">
        <f aca="false">FALSE()</f>
        <v>0</v>
      </c>
      <c r="T244" s="72" t="n">
        <f>IF(U244=TRUE(),$I244,"")</f>
        <v>0.05882277777777777</v>
      </c>
      <c r="U244" s="71" t="b">
        <f aca="false">TRUE()</f>
        <v>1</v>
      </c>
      <c r="V244" s="76" t="n">
        <f>IF(W244=TRUE(),$I244,"")</f>
        <v>0.05882277777777777</v>
      </c>
      <c r="W244" s="71" t="b">
        <f aca="false">TRUE()</f>
        <v>1</v>
      </c>
      <c r="X244" s="72" t="str">
        <f>IF(Y244=TRUE(),$I244,"")</f>
        <v/>
      </c>
      <c r="Y244" s="71" t="b">
        <f aca="false">FALSE()</f>
        <v>0</v>
      </c>
      <c r="Z244" t="inlineStr">
        <is>
          <t xml:space="preserve">Bonificación: PASEO</t>
        </is>
      </c>
      <c r="AA244" t="inlineStr">
        <is>
          <t xml:space="preserve">SDM, PASEO, JERUSA, BENITO</t>
        </is>
      </c>
      <c r="AB244"/>
    </row>
    <row r="245" spans="1:25" ht="14" x14ac:dyDescent="0.3">
      <c r="A245" s="10" t="n">
        <v>243</v>
      </c>
      <c r="B245" s="49" t="inlineStr">
        <is>
          <t xml:space="preserve">NESTLÉ</t>
        </is>
      </c>
      <c r="C245" s="49" t="inlineStr">
        <is>
          <t xml:space="preserve">Maggi and me</t>
        </is>
      </c>
      <c r="D245" s="89" t="n">
        <v>46258</v>
      </c>
      <c r="E245" s="89" t="n">
        <v>46288</v>
      </c>
      <c r="F245" s="35" t="n">
        <f>(E245-D245)+1</f>
        <v>31</v>
      </c>
      <c r="G245" s="67" t="n">
        <v>900</v>
      </c>
      <c r="H245" s="67" t="n">
        <v>1530</v>
      </c>
      <c r="I245" s="69" t="n">
        <f>IFERROR(H245/(F245*G245),"")</f>
        <v>0.054838709677419356</v>
      </c>
      <c r="J245" s="70" t="n">
        <f>IF(K245=TRUE(),$I245,"")</f>
        <v>0.054838709677419356</v>
      </c>
      <c r="K245" s="71" t="b">
        <f aca="false">TRUE()</f>
        <v>1</v>
      </c>
      <c r="L245" s="76" t="str">
        <f>IF(M245=TRUE(),$I245,"")</f>
        <v/>
      </c>
      <c r="M245" s="73" t="b">
        <f aca="false">FALSE()</f>
        <v>0</v>
      </c>
      <c r="N245" s="70" t="str">
        <f>IF(O245=TRUE(),$I245,"")</f>
        <v/>
      </c>
      <c r="O245" s="71" t="b">
        <f aca="false">FALSE()</f>
        <v>0</v>
      </c>
      <c r="P245" s="76" t="str">
        <f>IF(Q245=TRUE(),$I245,"")</f>
        <v/>
      </c>
      <c r="Q245" s="73" t="b">
        <f aca="false">FALSE()</f>
        <v>0</v>
      </c>
      <c r="R245" s="70" t="n">
        <f>IF(S245=TRUE(),$I245,"")</f>
        <v>0.054838709677419356</v>
      </c>
      <c r="S245" s="71" t="b">
        <f aca="false">TRUE()</f>
        <v>1</v>
      </c>
      <c r="T245" s="72" t="str">
        <f>IF(U245=TRUE(),$I245,"")</f>
        <v/>
      </c>
      <c r="U245" s="71" t="b">
        <f aca="false">FALSE()</f>
        <v>0</v>
      </c>
      <c r="V245" s="76" t="str">
        <f>IF(W245=TRUE(),$I245,"")</f>
        <v/>
      </c>
      <c r="W245" s="71" t="b">
        <f aca="false">FALSE()</f>
        <v>0</v>
      </c>
      <c r="X245" s="72" t="str">
        <f>IF(Y245=TRUE(),$I245,"")</f>
        <v/>
      </c>
      <c r="Y245" s="71" t="b">
        <f aca="false">FALSE()</f>
        <v>0</v>
      </c>
      <c r="Z245"/>
      <c r="AA245" t="inlineStr">
        <is>
          <t xml:space="preserve">HEROE, PROCE</t>
        </is>
      </c>
      <c r="AB245"/>
    </row>
    <row r="246" spans="1:25" ht="14" x14ac:dyDescent="0.3">
      <c r="A246" s="10" t="n">
        <v>244</v>
      </c>
      <c r="B246" s="49" t="inlineStr">
        <is>
          <t xml:space="preserve">EPA</t>
        </is>
      </c>
      <c r="C246" s="49" t="inlineStr">
        <is>
          <t xml:space="preserve">RETAIL</t>
        </is>
      </c>
      <c r="D246" s="89" t="n">
        <v>46277</v>
      </c>
      <c r="E246" s="89" t="n">
        <v>46291</v>
      </c>
      <c r="F246" s="35" t="n">
        <f>(E246-D246)+1</f>
        <v>15</v>
      </c>
      <c r="G246" s="67" t="n">
        <v>1800</v>
      </c>
      <c r="H246" s="67" t="n">
        <v>975</v>
      </c>
      <c r="I246" s="69" t="n">
        <f>IFERROR(H246/(F246*G246),"")</f>
        <v>0.03611111111111111</v>
      </c>
      <c r="J246" s="70" t="str">
        <f>IF(K246=TRUE(),$I246,"")</f>
        <v/>
      </c>
      <c r="K246" s="71" t="b">
        <f aca="false">FALSE()</f>
        <v>0</v>
      </c>
      <c r="L246" s="76" t="n">
        <f>IF(M246=TRUE(),$I246,"")</f>
        <v>0.03611111111111111</v>
      </c>
      <c r="M246" s="73" t="b">
        <f aca="false">TRUE()</f>
        <v>1</v>
      </c>
      <c r="N246" s="70" t="n">
        <f>IF(O246=TRUE(),$I246,"")</f>
        <v>0.03611111111111111</v>
      </c>
      <c r="O246" s="71" t="b">
        <f aca="false">TRUE()</f>
        <v>1</v>
      </c>
      <c r="P246" s="76" t="str">
        <f>IF(Q246=TRUE(),$I246,"")</f>
        <v/>
      </c>
      <c r="Q246" s="73" t="b">
        <f aca="false">FALSE()</f>
        <v>0</v>
      </c>
      <c r="R246" s="70" t="str">
        <f>IF(S246=TRUE(),$I246,"")</f>
        <v/>
      </c>
      <c r="S246" s="71" t="b">
        <f aca="false">FALSE()</f>
        <v>0</v>
      </c>
      <c r="T246" s="72" t="n">
        <f>IF(U246=TRUE(),$I246,"")</f>
        <v>0.03611111111111111</v>
      </c>
      <c r="U246" s="71" t="b">
        <f aca="false">TRUE()</f>
        <v>1</v>
      </c>
      <c r="V246" s="76" t="n">
        <f>IF(W246=TRUE(),$I246,"")</f>
        <v>0.03611111111111111</v>
      </c>
      <c r="W246" s="71" t="b">
        <f aca="false">TRUE()</f>
        <v>1</v>
      </c>
      <c r="X246" s="72" t="str">
        <f>IF(Y246=TRUE(),$I246,"")</f>
        <v/>
      </c>
      <c r="Y246" s="71" t="b">
        <f aca="false">FALSE()</f>
        <v>0</v>
      </c>
      <c r="Z246"/>
      <c r="AA246" t="inlineStr">
        <is>
          <t xml:space="preserve">PANAM, PASEO, JERUSA, BENITO</t>
        </is>
      </c>
      <c r="AB246"/>
    </row>
    <row r="247" spans="1:25" ht="14" x14ac:dyDescent="0.3">
      <c r="A247" s="10" t="n">
        <v>245</v>
      </c>
      <c r="B247" s="49" t="inlineStr">
        <is>
          <t xml:space="preserve">ST JACKS</t>
        </is>
      </c>
      <c r="C247" s="49" t="inlineStr">
        <is>
          <t xml:space="preserve">ST JACKS</t>
        </is>
      </c>
      <c r="D247" s="89" t="n">
        <v>46281</v>
      </c>
      <c r="E247" s="89" t="n">
        <v>46310</v>
      </c>
      <c r="F247" s="35" t="n">
        <f>(E247-D247)+1</f>
        <v>30</v>
      </c>
      <c r="G247" s="67" t="n">
        <v>900</v>
      </c>
      <c r="H247" s="67" t="n">
        <v>1080</v>
      </c>
      <c r="I247" s="69" t="n">
        <f>IFERROR(H247/(F247*G247),"")</f>
        <v>0.04</v>
      </c>
      <c r="J247" s="70" t="n">
        <f>IF(K247=TRUE(),$I247,"")</f>
        <v>0.04</v>
      </c>
      <c r="K247" s="71" t="b">
        <f aca="false">TRUE()</f>
        <v>1</v>
      </c>
      <c r="L247" s="76" t="str">
        <f>IF(M247=TRUE(),$I247,"")</f>
        <v/>
      </c>
      <c r="M247" s="73" t="b">
        <f aca="false">FALSE()</f>
        <v>0</v>
      </c>
      <c r="N247" s="70" t="n">
        <f>IF(O247=TRUE(),$I247,"")</f>
        <v>0.04</v>
      </c>
      <c r="O247" s="71" t="b">
        <f aca="false">TRUE()</f>
        <v>1</v>
      </c>
      <c r="P247" s="76" t="str">
        <f>IF(Q247=TRUE(),$I247,"")</f>
        <v/>
      </c>
      <c r="Q247" s="73" t="b">
        <f aca="false">FALSE()</f>
        <v>0</v>
      </c>
      <c r="R247" s="70" t="n">
        <f>IF(S247=TRUE(),$I247,"")</f>
        <v>0.04</v>
      </c>
      <c r="S247" s="71" t="b">
        <f aca="false">TRUE()</f>
        <v>1</v>
      </c>
      <c r="T247" s="72" t="str">
        <f>IF(U247=TRUE(),$I247,"")</f>
        <v/>
      </c>
      <c r="U247" s="71" t="b">
        <f aca="false">FALSE()</f>
        <v>0</v>
      </c>
      <c r="V247" s="76" t="str">
        <f>IF(W247=TRUE(),$I247,"")</f>
        <v/>
      </c>
      <c r="W247" s="71" t="b">
        <f aca="false">FALSE()</f>
        <v>0</v>
      </c>
      <c r="X247" s="72" t="str">
        <f>IF(Y247=TRUE(),$I247,"")</f>
        <v/>
      </c>
      <c r="Y247" s="71" t="b">
        <f aca="false">FALSE()</f>
        <v>0</v>
      </c>
      <c r="Z247"/>
      <c r="AA247" t="inlineStr">
        <is>
          <t xml:space="preserve">HEROE, PANAM, PROCE</t>
        </is>
      </c>
      <c r="AB247"/>
    </row>
    <row r="248" spans="1:25" ht="14" x14ac:dyDescent="0.3">
      <c r="A248" s="10" t="n">
        <v>246</v>
      </c>
      <c r="B248" s="49" t="inlineStr">
        <is>
          <t xml:space="preserve">UBIQUITY</t>
        </is>
      </c>
      <c r="C248" s="49" t="inlineStr">
        <is>
          <t xml:space="preserve">APPLY NOW</t>
        </is>
      </c>
      <c r="D248" s="89" t="n">
        <v>46281</v>
      </c>
      <c r="E248" s="89" t="n">
        <v>46310</v>
      </c>
      <c r="F248" s="35" t="n">
        <f>(E248-D248)+1</f>
        <v>30</v>
      </c>
      <c r="G248" s="67" t="n">
        <v>450</v>
      </c>
      <c r="H248" s="67" t="n">
        <v>900</v>
      </c>
      <c r="I248" s="69" t="n">
        <f>IFERROR(H248/(F248*G248),"")</f>
        <v>0.06666666666666667</v>
      </c>
      <c r="J248" s="70" t="str">
        <f>IF(K248=TRUE(),$I248,"")</f>
        <v/>
      </c>
      <c r="K248" s="71" t="b">
        <f aca="false">FALSE()</f>
        <v>0</v>
      </c>
      <c r="L248" s="76" t="str">
        <f>IF(M248=TRUE(),$I248,"")</f>
        <v/>
      </c>
      <c r="M248" s="73" t="b">
        <f aca="false">FALSE()</f>
        <v>0</v>
      </c>
      <c r="N248" s="70" t="str">
        <f>IF(O248=TRUE(),$I248,"")</f>
        <v/>
      </c>
      <c r="O248" s="71" t="b">
        <f aca="false">FALSE()</f>
        <v>0</v>
      </c>
      <c r="P248" s="76" t="str">
        <f>IF(Q248=TRUE(),$I248,"")</f>
        <v/>
      </c>
      <c r="Q248" s="73" t="b">
        <f aca="false">FALSE()</f>
        <v>0</v>
      </c>
      <c r="R248" s="70" t="str">
        <f>IF(S248=TRUE(),$I248,"")</f>
        <v/>
      </c>
      <c r="S248" s="71" t="b">
        <f aca="false">FALSE()</f>
        <v>0</v>
      </c>
      <c r="T248" s="72" t="n">
        <f>IF(U248=TRUE(),$I248,"")</f>
        <v>0.06666666666666667</v>
      </c>
      <c r="U248" s="71" t="b">
        <f aca="false">TRUE()</f>
        <v>1</v>
      </c>
      <c r="V248" s="76" t="str">
        <f>IF(W248=TRUE(),$I248,"")</f>
        <v/>
      </c>
      <c r="W248" s="71" t="b">
        <f aca="false">FALSE()</f>
        <v>0</v>
      </c>
      <c r="X248" s="72" t="str">
        <f>IF(Y248=TRUE(),$I248,"")</f>
        <v/>
      </c>
      <c r="Y248" s="71" t="b">
        <f aca="false">FALSE()</f>
        <v>0</v>
      </c>
      <c r="Z248"/>
      <c r="AA248" t="inlineStr">
        <is>
          <t xml:space="preserve">BENITO</t>
        </is>
      </c>
      <c r="AB248"/>
    </row>
    <row r="249" spans="1:25" ht="14" x14ac:dyDescent="0.3">
      <c r="A249" s="10" t="n">
        <v>247</v>
      </c>
      <c r="B249" s="49" t="inlineStr">
        <is>
          <t xml:space="preserve">PALM SOLARIS</t>
        </is>
      </c>
      <c r="C249" s="49" t="inlineStr">
        <is>
          <t xml:space="preserve">INSTITUCIONAL</t>
        </is>
      </c>
      <c r="D249" s="89" t="n">
        <v>46266</v>
      </c>
      <c r="E249" s="89" t="n">
        <v>46295</v>
      </c>
      <c r="F249" s="35" t="n">
        <f>(E249-D249)+1</f>
        <v>30</v>
      </c>
      <c r="G249" s="67" t="n">
        <v>300</v>
      </c>
      <c r="H249" s="67" t="n">
        <v>381.38</v>
      </c>
      <c r="I249" s="69" t="n">
        <f>IFERROR(H249/(F249*G249),"")</f>
        <v>0.042375555555555555</v>
      </c>
      <c r="J249" s="70" t="str">
        <f>IF(K249=TRUE(),$I249,"")</f>
        <v/>
      </c>
      <c r="K249" s="71" t="b">
        <f aca="false">FALSE()</f>
        <v>0</v>
      </c>
      <c r="L249" s="76" t="str">
        <f>IF(M249=TRUE(),$I249,"")</f>
        <v/>
      </c>
      <c r="M249" s="73" t="b">
        <f aca="false">FALSE()</f>
        <v>0</v>
      </c>
      <c r="N249" s="70" t="n">
        <f>IF(O249=TRUE(),$I249,"")</f>
        <v>0.042375555555555555</v>
      </c>
      <c r="O249" s="71" t="b">
        <f aca="false">TRUE()</f>
        <v>1</v>
      </c>
      <c r="P249" s="76" t="str">
        <f>IF(Q249=TRUE(),$I249,"")</f>
        <v/>
      </c>
      <c r="Q249" s="73" t="b">
        <f aca="false">FALSE()</f>
        <v>0</v>
      </c>
      <c r="R249" s="70" t="str">
        <f>IF(S249=TRUE(),$I249,"")</f>
        <v/>
      </c>
      <c r="S249" s="71" t="b">
        <f aca="false">FALSE()</f>
        <v>0</v>
      </c>
      <c r="T249" s="72" t="str">
        <f>IF(U249=TRUE(),$I249,"")</f>
        <v/>
      </c>
      <c r="U249" s="71" t="b">
        <f aca="false">FALSE()</f>
        <v>0</v>
      </c>
      <c r="V249" s="76" t="str">
        <f>IF(W249=TRUE(),$I249,"")</f>
        <v/>
      </c>
      <c r="W249" s="71" t="b">
        <f aca="false">FALSE()</f>
        <v>0</v>
      </c>
      <c r="X249" s="72" t="str">
        <f>IF(Y249=TRUE(),$I249,"")</f>
        <v/>
      </c>
      <c r="Y249" s="71" t="b">
        <f aca="false">FALSE()</f>
        <v>0</v>
      </c>
      <c r="Z249"/>
      <c r="AA249" t="inlineStr">
        <is>
          <t xml:space="preserve">PANAM</t>
        </is>
      </c>
      <c r="AB249"/>
    </row>
    <row r="250" spans="1:25" ht="14" x14ac:dyDescent="0.3">
      <c r="A250" s="10" t="n">
        <v>248</v>
      </c>
      <c r="B250" s="49" t="inlineStr">
        <is>
          <t xml:space="preserve">UNILEVER</t>
        </is>
      </c>
      <c r="C250" s="49" t="inlineStr">
        <is>
          <t xml:space="preserve">NATURA´S MAGIC</t>
        </is>
      </c>
      <c r="D250" s="89" t="n">
        <v>46286</v>
      </c>
      <c r="E250" s="89" t="n">
        <v>46315</v>
      </c>
      <c r="F250" s="35" t="n">
        <f>(E250-D250)+1</f>
        <v>30</v>
      </c>
      <c r="G250" s="67" t="n">
        <v>2250</v>
      </c>
      <c r="H250" s="67" t="n">
        <v>3105</v>
      </c>
      <c r="I250" s="69" t="n">
        <f>IFERROR(H250/(F250*G250),"")</f>
        <v>0.046</v>
      </c>
      <c r="J250" s="70" t="str">
        <f>IF(K250=TRUE(),$I250,"")</f>
        <v/>
      </c>
      <c r="K250" s="71" t="b">
        <f aca="false">FALSE()</f>
        <v>0</v>
      </c>
      <c r="L250" s="76" t="n">
        <f>IF(M250=TRUE(),$I250,"")</f>
        <v>0.046</v>
      </c>
      <c r="M250" s="73" t="b">
        <f aca="false">TRUE()</f>
        <v>1</v>
      </c>
      <c r="N250" s="70" t="str">
        <f>IF(O250=TRUE(),$I250,"")</f>
        <v/>
      </c>
      <c r="O250" s="71" t="b">
        <f aca="false">FALSE()</f>
        <v>0</v>
      </c>
      <c r="P250" s="76" t="n">
        <f>IF(Q250=TRUE(),$I250,"")</f>
        <v>0.046</v>
      </c>
      <c r="Q250" s="73" t="b">
        <f aca="false">TRUE()</f>
        <v>1</v>
      </c>
      <c r="R250" s="70" t="n">
        <f>IF(S250=TRUE(),$I250,"")</f>
        <v>0.046</v>
      </c>
      <c r="S250" s="71" t="b">
        <f aca="false">TRUE()</f>
        <v>1</v>
      </c>
      <c r="T250" s="72" t="n">
        <f>IF(U250=TRUE(),$I250,"")</f>
        <v>0.046</v>
      </c>
      <c r="U250" s="71" t="b">
        <f aca="false">TRUE()</f>
        <v>1</v>
      </c>
      <c r="V250" s="76" t="n">
        <f>IF(W250=TRUE(),$I250,"")</f>
        <v>0.046</v>
      </c>
      <c r="W250" s="71" t="b">
        <f aca="false">TRUE()</f>
        <v>1</v>
      </c>
      <c r="X250" s="72" t="str">
        <f>IF(Y250=TRUE(),$I250,"")</f>
        <v/>
      </c>
      <c r="Y250" s="71" t="b">
        <f aca="false">FALSE()</f>
        <v>0</v>
      </c>
      <c r="Z250" t="inlineStr">
        <is>
          <t xml:space="preserve">Bonificación: BENITO</t>
        </is>
      </c>
      <c r="AA250" t="inlineStr">
        <is>
          <t xml:space="preserve">SDM, HEROE, PASEO, JERUSA, BENITO</t>
        </is>
      </c>
      <c r="AB250"/>
    </row>
    <row r="251" spans="1:25" ht="14" x14ac:dyDescent="0.3">
      <c r="A251" s="10" t="n">
        <v>249</v>
      </c>
      <c r="B251" s="49" t="inlineStr">
        <is>
          <t xml:space="preserve">ALMACENES VIDRI</t>
        </is>
      </c>
      <c r="C251" s="49" t="inlineStr">
        <is>
          <t xml:space="preserve">PINTURAS</t>
        </is>
      </c>
      <c r="D251" s="89" t="n">
        <v>46310</v>
      </c>
      <c r="E251" s="89" t="n">
        <v>46340</v>
      </c>
      <c r="F251" s="35" t="n">
        <f>(E251-D251)+1</f>
        <v>31</v>
      </c>
      <c r="G251" s="67" t="n">
        <v>900</v>
      </c>
      <c r="H251" s="67" t="n">
        <v>1150</v>
      </c>
      <c r="I251" s="69" t="n">
        <f>IFERROR(H251/(F251*G251),"")</f>
        <v>0.04121863799283154</v>
      </c>
      <c r="J251" s="70" t="str">
        <f>IF(K251=TRUE(),$I251,"")</f>
        <v/>
      </c>
      <c r="K251" s="71" t="b">
        <f aca="false">FALSE()</f>
        <v>0</v>
      </c>
      <c r="L251" s="76" t="str">
        <f>IF(M251=TRUE(),$I251,"")</f>
        <v/>
      </c>
      <c r="M251" s="73" t="b">
        <f aca="false">FALSE()</f>
        <v>0</v>
      </c>
      <c r="N251" s="70" t="n">
        <f>IF(O251=TRUE(),$I251,"")</f>
        <v>0.04121863799283154</v>
      </c>
      <c r="O251" s="71" t="b">
        <f aca="false">TRUE()</f>
        <v>1</v>
      </c>
      <c r="P251" s="76" t="str">
        <f>IF(Q251=TRUE(),$I251,"")</f>
        <v/>
      </c>
      <c r="Q251" s="73" t="b">
        <f aca="false">FALSE()</f>
        <v>0</v>
      </c>
      <c r="R251" s="70" t="str">
        <f>IF(S251=TRUE(),$I251,"")</f>
        <v/>
      </c>
      <c r="S251" s="71" t="b">
        <f aca="false">FALSE()</f>
        <v>0</v>
      </c>
      <c r="T251" s="72" t="n">
        <f>IF(U251=TRUE(),$I251,"")</f>
        <v>0.04121863799283154</v>
      </c>
      <c r="U251" s="71" t="b">
        <f aca="false">TRUE()</f>
        <v>1</v>
      </c>
      <c r="V251" s="76" t="str">
        <f>IF(W251=TRUE(),$I251,"")</f>
        <v/>
      </c>
      <c r="W251" s="71" t="b">
        <f aca="false">FALSE()</f>
        <v>0</v>
      </c>
      <c r="X251" s="72" t="str">
        <f>IF(Y251=TRUE(),$I251,"")</f>
        <v/>
      </c>
      <c r="Y251" s="71" t="b">
        <f aca="false">FALSE()</f>
        <v>0</v>
      </c>
      <c r="Z251"/>
      <c r="AA251" t="inlineStr">
        <is>
          <t xml:space="preserve">PANAM, BENITO</t>
        </is>
      </c>
      <c r="AB251"/>
    </row>
    <row r="252" spans="1:25" ht="14" x14ac:dyDescent="0.3">
      <c r="A252" s="10" t="n">
        <v>250</v>
      </c>
      <c r="B252" s="49" t="inlineStr">
        <is>
          <t xml:space="preserve">ALPINA</t>
        </is>
      </c>
      <c r="C252" s="49" t="inlineStr">
        <is>
          <t xml:space="preserve">ALPINA BEBE</t>
        </is>
      </c>
      <c r="D252" s="89" t="n">
        <v>46294</v>
      </c>
      <c r="E252" s="89" t="n">
        <v>46323</v>
      </c>
      <c r="F252" s="35" t="n">
        <f>(E252-D252)+1</f>
        <v>30</v>
      </c>
      <c r="G252" s="67" t="n">
        <v>900</v>
      </c>
      <c r="H252" s="67" t="n">
        <v>1575</v>
      </c>
      <c r="I252" s="69" t="n">
        <f>IFERROR(H252/(F252*G252),"")</f>
        <v>0.058333333333333334</v>
      </c>
      <c r="J252" s="70" t="str">
        <f>IF(K252=TRUE(),$I252,"")</f>
        <v/>
      </c>
      <c r="K252" s="71" t="b">
        <f aca="false">FALSE()</f>
        <v>0</v>
      </c>
      <c r="L252" s="76" t="str">
        <f>IF(M252=TRUE(),$I252,"")</f>
        <v/>
      </c>
      <c r="M252" s="73" t="b">
        <f aca="false">FALSE()</f>
        <v>0</v>
      </c>
      <c r="N252" s="70" t="str">
        <f>IF(O252=TRUE(),$I252,"")</f>
        <v/>
      </c>
      <c r="O252" s="71" t="b">
        <f aca="false">FALSE()</f>
        <v>0</v>
      </c>
      <c r="P252" s="76" t="str">
        <f>IF(Q252=TRUE(),$I252,"")</f>
        <v/>
      </c>
      <c r="Q252" s="73" t="b">
        <f aca="false">FALSE()</f>
        <v>0</v>
      </c>
      <c r="R252" s="70" t="str">
        <f>IF(S252=TRUE(),$I252,"")</f>
        <v/>
      </c>
      <c r="S252" s="71" t="b">
        <f aca="false">FALSE()</f>
        <v>0</v>
      </c>
      <c r="T252" s="72" t="n">
        <f>IF(U252=TRUE(),$I252,"")</f>
        <v>0.058333333333333334</v>
      </c>
      <c r="U252" s="71" t="b">
        <f aca="false">TRUE()</f>
        <v>1</v>
      </c>
      <c r="V252" s="76" t="n">
        <f>IF(W252=TRUE(),$I252,"")</f>
        <v>0.058333333333333334</v>
      </c>
      <c r="W252" s="71" t="b">
        <f aca="false">TRUE()</f>
        <v>1</v>
      </c>
      <c r="X252" s="72" t="str">
        <f>IF(Y252=TRUE(),$I252,"")</f>
        <v/>
      </c>
      <c r="Y252" s="71" t="b">
        <f aca="false">FALSE()</f>
        <v>0</v>
      </c>
      <c r="Z252"/>
      <c r="AA252" t="inlineStr">
        <is>
          <t xml:space="preserve">JERUSA, BENITO</t>
        </is>
      </c>
      <c r="AB252"/>
    </row>
    <row r="253" spans="1:25" ht="14" x14ac:dyDescent="0.3">
      <c r="A253" s="10" t="n">
        <v>251</v>
      </c>
      <c r="B253" s="49" t="inlineStr">
        <is>
          <t xml:space="preserve">MAGGI</t>
        </is>
      </c>
      <c r="C253" s="49" t="inlineStr">
        <is>
          <t xml:space="preserve">MAGGI AND ME</t>
        </is>
      </c>
      <c r="D253" s="89" t="n">
        <v>46289</v>
      </c>
      <c r="E253" s="89" t="n">
        <v>46318</v>
      </c>
      <c r="F253" s="35" t="n">
        <f>(E253-D253)+1</f>
        <v>30</v>
      </c>
      <c r="G253" s="67" t="n">
        <v>450</v>
      </c>
      <c r="H253" s="67" t="n">
        <v>810</v>
      </c>
      <c r="I253" s="69" t="n">
        <f>IFERROR(H253/(F253*G253),"")</f>
        <v>0.06</v>
      </c>
      <c r="J253" s="70" t="str">
        <f>IF(K253=TRUE(),$I253,"")</f>
        <v/>
      </c>
      <c r="K253" s="71" t="b">
        <f aca="false">FALSE()</f>
        <v>0</v>
      </c>
      <c r="L253" s="76" t="str">
        <f>IF(M253=TRUE(),$I253,"")</f>
        <v/>
      </c>
      <c r="M253" s="73" t="b">
        <f aca="false">FALSE()</f>
        <v>0</v>
      </c>
      <c r="N253" s="70" t="str">
        <f>IF(O253=TRUE(),$I253,"")</f>
        <v/>
      </c>
      <c r="O253" s="71" t="b">
        <f aca="false">FALSE()</f>
        <v>0</v>
      </c>
      <c r="P253" s="76" t="str">
        <f>IF(Q253=TRUE(),$I253,"")</f>
        <v/>
      </c>
      <c r="Q253" s="73" t="b">
        <f aca="false">FALSE()</f>
        <v>0</v>
      </c>
      <c r="R253" s="70" t="n">
        <f>IF(S253=TRUE(),$I253,"")</f>
        <v>0.06</v>
      </c>
      <c r="S253" s="71" t="b">
        <f aca="false">TRUE()</f>
        <v>1</v>
      </c>
      <c r="T253" s="72" t="str">
        <f>IF(U253=TRUE(),$I253,"")</f>
        <v/>
      </c>
      <c r="U253" s="71" t="b">
        <f aca="false">FALSE()</f>
        <v>0</v>
      </c>
      <c r="V253" s="76" t="str">
        <f>IF(W253=TRUE(),$I253,"")</f>
        <v/>
      </c>
      <c r="W253" s="71" t="b">
        <f aca="false">FALSE()</f>
        <v>0</v>
      </c>
      <c r="X253" s="72" t="str">
        <f>IF(Y253=TRUE(),$I253,"")</f>
        <v/>
      </c>
      <c r="Y253" s="71" t="b">
        <f aca="false">FALSE()</f>
        <v>0</v>
      </c>
      <c r="Z253"/>
      <c r="AA253" t="inlineStr">
        <is>
          <t xml:space="preserve">HEROE</t>
        </is>
      </c>
      <c r="AB253"/>
    </row>
    <row r="254" spans="1:25" ht="14" x14ac:dyDescent="0.3">
      <c r="A254" s="10" t="n">
        <v>252</v>
      </c>
      <c r="B254" s="49" t="inlineStr">
        <is>
          <t xml:space="preserve">LEMUSIMUN</t>
        </is>
      </c>
      <c r="C254" s="49" t="inlineStr">
        <is>
          <t xml:space="preserve">50 ANIVERSARIO</t>
        </is>
      </c>
      <c r="D254" s="89" t="n">
        <v>46286</v>
      </c>
      <c r="E254" s="89" t="n">
        <v>46315</v>
      </c>
      <c r="F254" s="35" t="n">
        <f>(E254-D254)+1</f>
        <v>30</v>
      </c>
      <c r="G254" s="67" t="n">
        <v>2400</v>
      </c>
      <c r="H254" s="67"/>
      <c r="I254" s="69" t="str">
        <f>IFERROR(H254/(F254*G254),"")</f>
        <v/>
      </c>
      <c r="J254" s="70" t="str">
        <f>IF(K254=TRUE(),$I254,"")</f>
        <v/>
      </c>
      <c r="K254" s="71" t="b">
        <f aca="false">TRUE()</f>
        <v>1</v>
      </c>
      <c r="L254" s="76" t="str">
        <f>IF(M254=TRUE(),$I254,"")</f>
        <v/>
      </c>
      <c r="M254" s="73" t="b">
        <f aca="false">TRUE()</f>
        <v>1</v>
      </c>
      <c r="N254" s="70" t="str">
        <f>IF(O254=TRUE(),$I254,"")</f>
        <v/>
      </c>
      <c r="O254" s="71" t="b">
        <f aca="false">TRUE()</f>
        <v>1</v>
      </c>
      <c r="P254" s="76" t="str">
        <f>IF(Q254=TRUE(),$I254,"")</f>
        <v/>
      </c>
      <c r="Q254" s="73" t="b">
        <f aca="false">TRUE()</f>
        <v>1</v>
      </c>
      <c r="R254" s="70" t="str">
        <f>IF(S254=TRUE(),$I254,"")</f>
        <v/>
      </c>
      <c r="S254" s="71" t="b">
        <f aca="false">TRUE()</f>
        <v>1</v>
      </c>
      <c r="T254" s="72" t="str">
        <f>IF(U254=TRUE(),$I254,"")</f>
        <v/>
      </c>
      <c r="U254" s="71" t="b">
        <f aca="false">TRUE()</f>
        <v>1</v>
      </c>
      <c r="V254" s="76" t="str">
        <f>IF(W254=TRUE(),$I254,"")</f>
        <v/>
      </c>
      <c r="W254" s="71" t="b">
        <f aca="false">TRUE()</f>
        <v>1</v>
      </c>
      <c r="X254" s="72" t="str">
        <f>IF(Y254=TRUE(),$I254,"")</f>
        <v/>
      </c>
      <c r="Y254" s="71" t="b">
        <f aca="false">FALSE()</f>
        <v>0</v>
      </c>
      <c r="Z254" t="inlineStr">
        <is>
          <t xml:space="preserve">Canje</t>
        </is>
      </c>
      <c r="AA254" t="inlineStr">
        <is>
          <t xml:space="preserve">SDM, HEROE, PANAM, PROCE, PASEO, JERUSA, BENITO, JUANPA</t>
        </is>
      </c>
      <c r="AB254"/>
    </row>
    <row r="255" spans="1:25" ht="14" x14ac:dyDescent="0.3">
      <c r="A255" s="10" t="n">
        <v>253</v>
      </c>
      <c r="B255" s="49" t="inlineStr">
        <is>
          <t xml:space="preserve">ALCALDIA DE SAN SALVADOR CENTRO</t>
        </is>
      </c>
      <c r="C255" s="49" t="inlineStr">
        <is>
          <t xml:space="preserve">AMNISTIA</t>
        </is>
      </c>
      <c r="D255" s="89" t="n">
        <v>46294</v>
      </c>
      <c r="E255" s="89" t="n">
        <v>46353</v>
      </c>
      <c r="F255" s="35" t="n">
        <f>(E255-D255)+1</f>
        <v>60</v>
      </c>
      <c r="G255" s="67" t="n">
        <v>2400</v>
      </c>
      <c r="H255" s="67"/>
      <c r="I255" s="69" t="str">
        <f>IFERROR(H255/(F255*G255),"")</f>
        <v/>
      </c>
      <c r="J255" s="70" t="str">
        <f>IF(K255=TRUE(),$I255,"")</f>
        <v/>
      </c>
      <c r="K255" s="71" t="b">
        <f aca="false">TRUE()</f>
        <v>1</v>
      </c>
      <c r="L255" s="76" t="str">
        <f>IF(M255=TRUE(),$I255,"")</f>
        <v/>
      </c>
      <c r="M255" s="73" t="b">
        <f aca="false">TRUE()</f>
        <v>1</v>
      </c>
      <c r="N255" s="70" t="str">
        <f>IF(O255=TRUE(),$I255,"")</f>
        <v/>
      </c>
      <c r="O255" s="71" t="b">
        <f aca="false">TRUE()</f>
        <v>1</v>
      </c>
      <c r="P255" s="76" t="str">
        <f>IF(Q255=TRUE(),$I255,"")</f>
        <v/>
      </c>
      <c r="Q255" s="73" t="b">
        <f aca="false">TRUE()</f>
        <v>1</v>
      </c>
      <c r="R255" s="70" t="str">
        <f>IF(S255=TRUE(),$I255,"")</f>
        <v/>
      </c>
      <c r="S255" s="71" t="b">
        <f aca="false">TRUE()</f>
        <v>1</v>
      </c>
      <c r="T255" s="72" t="str">
        <f>IF(U255=TRUE(),$I255,"")</f>
        <v/>
      </c>
      <c r="U255" s="71" t="b">
        <f aca="false">TRUE()</f>
        <v>1</v>
      </c>
      <c r="V255" s="76" t="str">
        <f>IF(W255=TRUE(),$I255,"")</f>
        <v/>
      </c>
      <c r="W255" s="71" t="b">
        <f aca="false">TRUE()</f>
        <v>1</v>
      </c>
      <c r="X255" s="72" t="str">
        <f>IF(Y255=TRUE(),$I255,"")</f>
        <v/>
      </c>
      <c r="Y255" s="71" t="b">
        <f aca="false">FALSE()</f>
        <v>0</v>
      </c>
      <c r="Z255" t="inlineStr">
        <is>
          <t xml:space="preserve">Donación</t>
        </is>
      </c>
      <c r="AA255" t="inlineStr">
        <is>
          <t xml:space="preserve">SDM, HEROE, PANAM, PROCE, PASEO, JERUSA, BENITO, JUANPA</t>
        </is>
      </c>
      <c r="AB255"/>
    </row>
    <row r="256" spans="1:25" ht="14" x14ac:dyDescent="0.3">
      <c r="A256" s="10" t="n">
        <v>254</v>
      </c>
      <c r="B256" s="49" t="inlineStr">
        <is>
          <t xml:space="preserve">FUSALMO</t>
        </is>
      </c>
      <c r="C256" s="49" t="inlineStr">
        <is>
          <t xml:space="preserve">ROBOTICA</t>
        </is>
      </c>
      <c r="D256" s="89" t="n">
        <v>46289</v>
      </c>
      <c r="E256" s="89" t="n">
        <v>46303</v>
      </c>
      <c r="F256" s="35" t="n">
        <f>(E256-D256)+1</f>
        <v>15</v>
      </c>
      <c r="G256" s="67" t="n">
        <v>450</v>
      </c>
      <c r="H256" s="67"/>
      <c r="I256" s="69" t="str">
        <f>IFERROR(H256/(F256*G256),"")</f>
        <v/>
      </c>
      <c r="J256" s="70" t="str">
        <f>IF(K256=TRUE(),$I256,"")</f>
        <v/>
      </c>
      <c r="K256" s="71" t="b">
        <f aca="false">FALSE()</f>
        <v>0</v>
      </c>
      <c r="L256" s="76" t="str">
        <f>IF(M256=TRUE(),$I256,"")</f>
        <v/>
      </c>
      <c r="M256" s="73" t="b">
        <f aca="false">TRUE()</f>
        <v>1</v>
      </c>
      <c r="N256" s="70" t="str">
        <f>IF(O256=TRUE(),$I256,"")</f>
        <v/>
      </c>
      <c r="O256" s="71" t="b">
        <f aca="false">FALSE()</f>
        <v>0</v>
      </c>
      <c r="P256" s="76" t="str">
        <f>IF(Q256=TRUE(),$I256,"")</f>
        <v/>
      </c>
      <c r="Q256" s="73" t="b">
        <f aca="false">FALSE()</f>
        <v>0</v>
      </c>
      <c r="R256" s="70" t="str">
        <f>IF(S256=TRUE(),$I256,"")</f>
        <v/>
      </c>
      <c r="S256" s="71" t="b">
        <f aca="false">FALSE()</f>
        <v>0</v>
      </c>
      <c r="T256" s="72" t="str">
        <f>IF(U256=TRUE(),$I256,"")</f>
        <v/>
      </c>
      <c r="U256" s="71" t="b">
        <f aca="false">FALSE()</f>
        <v>0</v>
      </c>
      <c r="V256" s="76" t="str">
        <f>IF(W256=TRUE(),$I256,"")</f>
        <v/>
      </c>
      <c r="W256" s="71" t="b">
        <f aca="false">FALSE()</f>
        <v>0</v>
      </c>
      <c r="X256" s="72" t="str">
        <f>IF(Y256=TRUE(),$I256,"")</f>
        <v/>
      </c>
      <c r="Y256" s="71" t="b">
        <f aca="false">FALSE()</f>
        <v>0</v>
      </c>
      <c r="Z256" t="inlineStr">
        <is>
          <t xml:space="preserve">Donación</t>
        </is>
      </c>
      <c r="AA256" t="inlineStr">
        <is>
          <t xml:space="preserve">PASEO</t>
        </is>
      </c>
      <c r="AB256"/>
    </row>
    <row r="257" spans="1:25" ht="14" x14ac:dyDescent="0.3">
      <c r="A257" s="10" t="n">
        <v>255</v>
      </c>
      <c r="B257" s="49" t="inlineStr">
        <is>
          <t xml:space="preserve">MD</t>
        </is>
      </c>
      <c r="C257" s="49" t="inlineStr">
        <is>
          <t xml:space="preserve">TEMPORADA FIN DE AÑO</t>
        </is>
      </c>
      <c r="D257" s="89" t="n">
        <v>46338</v>
      </c>
      <c r="E257" s="89" t="n">
        <v>46356</v>
      </c>
      <c r="F257" s="35" t="n">
        <f>(E257-D257)+1</f>
        <v>19</v>
      </c>
      <c r="G257" s="67" t="n">
        <v>3600</v>
      </c>
      <c r="H257" s="67" t="n">
        <v>3267</v>
      </c>
      <c r="I257" s="69" t="n">
        <f>IFERROR(H257/(F257*G257),"")</f>
        <v>0.04776315789473684</v>
      </c>
      <c r="J257" s="70" t="n">
        <f>IF(K257=TRUE(),$I257,"")</f>
        <v>0.04776315789473684</v>
      </c>
      <c r="K257" s="71" t="b">
        <f aca="false">TRUE()</f>
        <v>1</v>
      </c>
      <c r="L257" s="76" t="n">
        <f>IF(M257=TRUE(),$I257,"")</f>
        <v>0.04776315789473684</v>
      </c>
      <c r="M257" s="73" t="b">
        <f aca="false">TRUE()</f>
        <v>1</v>
      </c>
      <c r="N257" s="70" t="str">
        <f>IF(O257=TRUE(),$I257,"")</f>
        <v/>
      </c>
      <c r="O257" s="71" t="b">
        <f aca="false">FALSE()</f>
        <v>0</v>
      </c>
      <c r="P257" s="76" t="n">
        <f>IF(Q257=TRUE(),$I257,"")</f>
        <v>0.04776315789473684</v>
      </c>
      <c r="Q257" s="73" t="b">
        <f aca="false">TRUE()</f>
        <v>1</v>
      </c>
      <c r="R257" s="70" t="n">
        <f>IF(S257=TRUE(),$I257,"")</f>
        <v>0.04776315789473684</v>
      </c>
      <c r="S257" s="71" t="b">
        <f aca="false">TRUE()</f>
        <v>1</v>
      </c>
      <c r="T257" s="72" t="str">
        <f>IF(U257=TRUE(),$I257,"")</f>
        <v/>
      </c>
      <c r="U257" s="71" t="b">
        <f aca="false">FALSE()</f>
        <v>0</v>
      </c>
      <c r="V257" s="76" t="str">
        <f>IF(W257=TRUE(),$I257,"")</f>
        <v/>
      </c>
      <c r="W257" s="71" t="b">
        <f aca="false">FALSE()</f>
        <v>0</v>
      </c>
      <c r="X257" s="72" t="str">
        <f>IF(Y257=TRUE(),$I257,"")</f>
        <v/>
      </c>
      <c r="Y257" s="71" t="b">
        <f aca="false">FALSE()</f>
        <v>0</v>
      </c>
      <c r="Z257"/>
      <c r="AA257" t="inlineStr">
        <is>
          <t xml:space="preserve">SDM, HEROE, PROCE, PASEO</t>
        </is>
      </c>
      <c r="AB257"/>
    </row>
    <row r="258" spans="1:25" ht="14" x14ac:dyDescent="0.3">
      <c r="A258" s="10" t="n">
        <v>256</v>
      </c>
      <c r="B258" s="49" t="inlineStr">
        <is>
          <t xml:space="preserve">UNIVERSIDAD DON BOSCO</t>
        </is>
      </c>
      <c r="C258" s="49" t="inlineStr">
        <is>
          <t xml:space="preserve">DISEÑO</t>
        </is>
      </c>
      <c r="D258" s="89" t="n">
        <v>46286</v>
      </c>
      <c r="E258" s="89" t="n">
        <v>46304</v>
      </c>
      <c r="F258" s="35" t="n">
        <f>(E258-D258)+1</f>
        <v>19</v>
      </c>
      <c r="G258" s="67" t="n">
        <v>450</v>
      </c>
      <c r="H258" s="67" t="n">
        <v>385</v>
      </c>
      <c r="I258" s="69" t="n">
        <f>IFERROR(H258/(F258*G258),"")</f>
        <v>0.04502923976608187</v>
      </c>
      <c r="J258" s="70" t="str">
        <f>IF(K258=TRUE(),$I258,"")</f>
        <v/>
      </c>
      <c r="K258" s="71" t="b">
        <f aca="false">FALSE()</f>
        <v>0</v>
      </c>
      <c r="L258" s="76" t="str">
        <f>IF(M258=TRUE(),$I258,"")</f>
        <v/>
      </c>
      <c r="M258" s="73" t="b">
        <f aca="false">FALSE()</f>
        <v>0</v>
      </c>
      <c r="N258" s="70" t="str">
        <f>IF(O258=TRUE(),$I258,"")</f>
        <v/>
      </c>
      <c r="O258" s="71" t="b">
        <f aca="false">FALSE()</f>
        <v>0</v>
      </c>
      <c r="P258" s="76" t="str">
        <f>IF(Q258=TRUE(),$I258,"")</f>
        <v/>
      </c>
      <c r="Q258" s="73" t="b">
        <f aca="false">FALSE()</f>
        <v>0</v>
      </c>
      <c r="R258" s="70" t="str">
        <f>IF(S258=TRUE(),$I258,"")</f>
        <v/>
      </c>
      <c r="S258" s="71" t="b">
        <f aca="false">FALSE()</f>
        <v>0</v>
      </c>
      <c r="T258" s="72" t="n">
        <f>IF(U258=TRUE(),$I258,"")</f>
        <v>0.04502923976608187</v>
      </c>
      <c r="U258" s="71" t="b">
        <f aca="false">TRUE()</f>
        <v>1</v>
      </c>
      <c r="V258" s="76" t="str">
        <f>IF(W258=TRUE(),$I258,"")</f>
        <v/>
      </c>
      <c r="W258" s="71" t="b">
        <f aca="false">FALSE()</f>
        <v>0</v>
      </c>
      <c r="X258" s="72" t="str">
        <f>IF(Y258=TRUE(),$I258,"")</f>
        <v/>
      </c>
      <c r="Y258" s="71" t="b">
        <f aca="false">FALSE()</f>
        <v>0</v>
      </c>
      <c r="Z258"/>
      <c r="AA258" t="inlineStr">
        <is>
          <t xml:space="preserve">BENITO</t>
        </is>
      </c>
      <c r="AB258"/>
    </row>
    <row r="259" spans="1:25" ht="14" x14ac:dyDescent="0.3">
      <c r="A259" s="10" t="n">
        <v>257</v>
      </c>
      <c r="B259" s="49" t="inlineStr">
        <is>
          <t xml:space="preserve">TIGO</t>
        </is>
      </c>
      <c r="C259" s="49" t="inlineStr">
        <is>
          <t xml:space="preserve">POSPAGO RETAIL</t>
        </is>
      </c>
      <c r="D259" s="89" t="n">
        <v>46296</v>
      </c>
      <c r="E259" s="89" t="n">
        <v>46298</v>
      </c>
      <c r="F259" s="35" t="n">
        <f>(E259-D259)+1</f>
        <v>3</v>
      </c>
      <c r="G259" s="67" t="n">
        <v>450</v>
      </c>
      <c r="H259" s="67" t="n">
        <v>67.5</v>
      </c>
      <c r="I259" s="69" t="n">
        <f>IFERROR(H259/(F259*G259),"")</f>
        <v>0.05</v>
      </c>
      <c r="J259" s="70" t="str">
        <f>IF(K259=TRUE(),$I259,"")</f>
        <v/>
      </c>
      <c r="K259" s="71" t="b">
        <f aca="false">FALSE()</f>
        <v>0</v>
      </c>
      <c r="L259" s="76" t="str">
        <f>IF(M259=TRUE(),$I259,"")</f>
        <v/>
      </c>
      <c r="M259" s="73" t="b">
        <f aca="false">FALSE()</f>
        <v>0</v>
      </c>
      <c r="N259" s="70" t="str">
        <f>IF(O259=TRUE(),$I259,"")</f>
        <v/>
      </c>
      <c r="O259" s="71" t="b">
        <f aca="false">FALSE()</f>
        <v>0</v>
      </c>
      <c r="P259" s="76" t="str">
        <f>IF(Q259=TRUE(),$I259,"")</f>
        <v/>
      </c>
      <c r="Q259" s="73" t="b">
        <f aca="false">FALSE()</f>
        <v>0</v>
      </c>
      <c r="R259" s="70" t="str">
        <f>IF(S259=TRUE(),$I259,"")</f>
        <v/>
      </c>
      <c r="S259" s="71" t="b">
        <f aca="false">FALSE()</f>
        <v>0</v>
      </c>
      <c r="T259" s="72" t="str">
        <f>IF(U259=TRUE(),$I259,"")</f>
        <v/>
      </c>
      <c r="U259" s="71" t="b">
        <f aca="false">FALSE()</f>
        <v>0</v>
      </c>
      <c r="V259" s="76" t="str">
        <f>IF(W259=TRUE(),$I259,"")</f>
        <v/>
      </c>
      <c r="W259" s="71" t="b">
        <f aca="false">FALSE()</f>
        <v>0</v>
      </c>
      <c r="X259" s="72" t="str">
        <f>IF(Y259=TRUE(),$I259,"")</f>
        <v/>
      </c>
      <c r="Y259" s="71" t="b">
        <f aca="false">FALSE()</f>
        <v>0</v>
      </c>
      <c r="Z259"/>
      <c r="AA259" t="inlineStr">
        <is>
          <t xml:space="preserve">JUANPA</t>
        </is>
      </c>
      <c r="AB259"/>
    </row>
    <row r="260" spans="1:25" ht="14" x14ac:dyDescent="0.3">
      <c r="A260" s="10" t="n">
        <v>258</v>
      </c>
      <c r="B260" s="49" t="inlineStr">
        <is>
          <t xml:space="preserve">SIMAN</t>
        </is>
      </c>
      <c r="C260" s="49" t="inlineStr">
        <is>
          <t xml:space="preserve">SIMAN ANIVERSALE</t>
        </is>
      </c>
      <c r="D260" s="89" t="n">
        <v>46296</v>
      </c>
      <c r="E260" s="89" t="n">
        <v>46326</v>
      </c>
      <c r="F260" s="35" t="n">
        <f>(E260-D260)+1</f>
        <v>31</v>
      </c>
      <c r="G260" s="67" t="n">
        <v>450</v>
      </c>
      <c r="H260" s="67" t="n">
        <v>810</v>
      </c>
      <c r="I260" s="69" t="n">
        <f>IFERROR(H260/(F260*G260),"")</f>
        <v>0.05806451612903226</v>
      </c>
      <c r="J260" s="70" t="n">
        <f>IF(K260=TRUE(),$I260,"")</f>
        <v>0.05806451612903226</v>
      </c>
      <c r="K260" s="71" t="b">
        <f aca="false">TRUE()</f>
        <v>1</v>
      </c>
      <c r="L260" s="76" t="str">
        <f>IF(M260=TRUE(),$I260,"")</f>
        <v/>
      </c>
      <c r="M260" s="73" t="b">
        <f aca="false">FALSE()</f>
        <v>0</v>
      </c>
      <c r="N260" s="70" t="str">
        <f>IF(O260=TRUE(),$I260,"")</f>
        <v/>
      </c>
      <c r="O260" s="71" t="b">
        <f aca="false">FALSE()</f>
        <v>0</v>
      </c>
      <c r="P260" s="76" t="str">
        <f>IF(Q260=TRUE(),$I260,"")</f>
        <v/>
      </c>
      <c r="Q260" s="73" t="b">
        <f aca="false">FALSE()</f>
        <v>0</v>
      </c>
      <c r="R260" s="70" t="str">
        <f>IF(S260=TRUE(),$I260,"")</f>
        <v/>
      </c>
      <c r="S260" s="71" t="b">
        <f aca="false">FALSE()</f>
        <v>0</v>
      </c>
      <c r="T260" s="72" t="str">
        <f>IF(U260=TRUE(),$I260,"")</f>
        <v/>
      </c>
      <c r="U260" s="71" t="b">
        <f aca="false">FALSE()</f>
        <v>0</v>
      </c>
      <c r="V260" s="76" t="str">
        <f>IF(W260=TRUE(),$I260,"")</f>
        <v/>
      </c>
      <c r="W260" s="71" t="b">
        <f aca="false">FALSE()</f>
        <v>0</v>
      </c>
      <c r="X260" s="72" t="str">
        <f>IF(Y260=TRUE(),$I260,"")</f>
        <v/>
      </c>
      <c r="Y260" s="71" t="b">
        <f aca="false">FALSE()</f>
        <v>0</v>
      </c>
      <c r="Z260"/>
      <c r="AA260" t="inlineStr">
        <is>
          <t xml:space="preserve">PROCE</t>
        </is>
      </c>
      <c r="AB260"/>
    </row>
    <row r="261" spans="1:25" ht="14" x14ac:dyDescent="0.3">
      <c r="A261" s="10" t="n">
        <v>259</v>
      </c>
      <c r="B261" s="49" t="inlineStr">
        <is>
          <t xml:space="preserve">Walmart</t>
        </is>
      </c>
      <c r="C261" s="49" t="inlineStr">
        <is>
          <t xml:space="preserve">WALMART</t>
        </is>
      </c>
      <c r="D261" s="89" t="n">
        <v>46296</v>
      </c>
      <c r="E261" s="89" t="n">
        <v>46326</v>
      </c>
      <c r="F261" s="35" t="n">
        <f>(E261-D261)+1</f>
        <v>31</v>
      </c>
      <c r="G261" s="67" t="n">
        <v>450</v>
      </c>
      <c r="H261" s="67" t="n">
        <v>600</v>
      </c>
      <c r="I261" s="69" t="n">
        <f>IFERROR(H261/(F261*G261),"")</f>
        <v>0.043010752688172046</v>
      </c>
      <c r="J261" s="70" t="str">
        <f>IF(K261=TRUE(),$I261,"")</f>
        <v/>
      </c>
      <c r="K261" s="71" t="b">
        <f aca="false">FALSE()</f>
        <v>0</v>
      </c>
      <c r="L261" s="76" t="str">
        <f>IF(M261=TRUE(),$I261,"")</f>
        <v/>
      </c>
      <c r="M261" s="73" t="b">
        <f aca="false">FALSE()</f>
        <v>0</v>
      </c>
      <c r="N261" s="70" t="str">
        <f>IF(O261=TRUE(),$I261,"")</f>
        <v/>
      </c>
      <c r="O261" s="71" t="b">
        <f aca="false">FALSE()</f>
        <v>0</v>
      </c>
      <c r="P261" s="76" t="str">
        <f>IF(Q261=TRUE(),$I261,"")</f>
        <v/>
      </c>
      <c r="Q261" s="73" t="b">
        <f aca="false">FALSE()</f>
        <v>0</v>
      </c>
      <c r="R261" s="70" t="str">
        <f>IF(S261=TRUE(),$I261,"")</f>
        <v/>
      </c>
      <c r="S261" s="71" t="b">
        <f aca="false">FALSE()</f>
        <v>0</v>
      </c>
      <c r="T261" s="72" t="n">
        <f>IF(U261=TRUE(),$I261,"")</f>
        <v>0.043010752688172046</v>
      </c>
      <c r="U261" s="71" t="b">
        <f aca="false">TRUE()</f>
        <v>1</v>
      </c>
      <c r="V261" s="76" t="str">
        <f>IF(W261=TRUE(),$I261,"")</f>
        <v/>
      </c>
      <c r="W261" s="71" t="b">
        <f aca="false">FALSE()</f>
        <v>0</v>
      </c>
      <c r="X261" s="72" t="str">
        <f>IF(Y261=TRUE(),$I261,"")</f>
        <v/>
      </c>
      <c r="Y261" s="71" t="b">
        <f aca="false">FALSE()</f>
        <v>0</v>
      </c>
      <c r="Z261"/>
      <c r="AA261" t="inlineStr">
        <is>
          <t xml:space="preserve">BENITO</t>
        </is>
      </c>
      <c r="AB261"/>
    </row>
    <row r="262" spans="1:25" ht="14" x14ac:dyDescent="0.3">
      <c r="A262" s="10" t="n">
        <v>260</v>
      </c>
      <c r="B262" s="49" t="inlineStr">
        <is>
          <t xml:space="preserve">Viro Grip</t>
        </is>
      </c>
      <c r="C262" s="49" t="inlineStr">
        <is>
          <t xml:space="preserve">VIROGRIP</t>
        </is>
      </c>
      <c r="D262" s="89" t="n">
        <v>46296</v>
      </c>
      <c r="E262" s="89" t="n">
        <v>46326</v>
      </c>
      <c r="F262" s="35" t="n">
        <f>(E262-D262)+1</f>
        <v>31</v>
      </c>
      <c r="G262" s="67" t="n">
        <v>900</v>
      </c>
      <c r="H262" s="67" t="n">
        <v>1100</v>
      </c>
      <c r="I262" s="69" t="n">
        <f>IFERROR(H262/(F262*G262),"")</f>
        <v>0.03942652329749104</v>
      </c>
      <c r="J262" s="70" t="str">
        <f>IF(K262=TRUE(),$I262,"")</f>
        <v/>
      </c>
      <c r="K262" s="71" t="b">
        <f aca="false">FALSE()</f>
        <v>0</v>
      </c>
      <c r="L262" s="76" t="str">
        <f>IF(M262=TRUE(),$I262,"")</f>
        <v/>
      </c>
      <c r="M262" s="73" t="b">
        <f aca="false">FALSE()</f>
        <v>0</v>
      </c>
      <c r="N262" s="70" t="str">
        <f>IF(O262=TRUE(),$I262,"")</f>
        <v/>
      </c>
      <c r="O262" s="71" t="b">
        <f aca="false">FALSE()</f>
        <v>0</v>
      </c>
      <c r="P262" s="76" t="n">
        <f>IF(Q262=TRUE(),$I262,"")</f>
        <v>0.03942652329749104</v>
      </c>
      <c r="Q262" s="73" t="b">
        <f aca="false">TRUE()</f>
        <v>1</v>
      </c>
      <c r="R262" s="70" t="n">
        <f>IF(S262=TRUE(),$I262,"")</f>
        <v>0.03942652329749104</v>
      </c>
      <c r="S262" s="71" t="b">
        <f aca="false">TRUE()</f>
        <v>1</v>
      </c>
      <c r="T262" s="72" t="str">
        <f>IF(U262=TRUE(),$I262,"")</f>
        <v/>
      </c>
      <c r="U262" s="71" t="b">
        <f aca="false">FALSE()</f>
        <v>0</v>
      </c>
      <c r="V262" s="76" t="str">
        <f>IF(W262=TRUE(),$I262,"")</f>
        <v/>
      </c>
      <c r="W262" s="71" t="b">
        <f aca="false">FALSE()</f>
        <v>0</v>
      </c>
      <c r="X262" s="72" t="str">
        <f>IF(Y262=TRUE(),$I262,"")</f>
        <v/>
      </c>
      <c r="Y262" s="71" t="b">
        <f aca="false">FALSE()</f>
        <v>0</v>
      </c>
      <c r="Z262"/>
      <c r="AA262" t="inlineStr">
        <is>
          <t xml:space="preserve">SDM, HEROE</t>
        </is>
      </c>
      <c r="AB262"/>
    </row>
    <row r="263" spans="1:25" ht="14" x14ac:dyDescent="0.3">
      <c r="A263" s="10" t="n">
        <v>261</v>
      </c>
      <c r="B263" s="49" t="inlineStr">
        <is>
          <t xml:space="preserve">GRUPO EXCEL</t>
        </is>
      </c>
      <c r="C263" s="49" t="inlineStr">
        <is>
          <t xml:space="preserve">PROMO GRUPO EXCEL</t>
        </is>
      </c>
      <c r="D263" s="89" t="n">
        <v>46296</v>
      </c>
      <c r="E263" s="89" t="n">
        <v>46326</v>
      </c>
      <c r="F263" s="35" t="n">
        <f>(E263-D263)+1</f>
        <v>31</v>
      </c>
      <c r="G263" s="67" t="n">
        <v>900</v>
      </c>
      <c r="H263" s="67" t="n">
        <v>1500</v>
      </c>
      <c r="I263" s="69" t="n">
        <f>IFERROR(H263/(F263*G263),"")</f>
        <v>0.053763440860215055</v>
      </c>
      <c r="J263" s="70" t="n">
        <f>IF(K263=TRUE(),$I263,"")</f>
        <v>0.053763440860215055</v>
      </c>
      <c r="K263" s="71" t="b">
        <f aca="false">TRUE()</f>
        <v>1</v>
      </c>
      <c r="L263" s="76" t="str">
        <f>IF(M263=TRUE(),$I263,"")</f>
        <v/>
      </c>
      <c r="M263" s="73" t="b">
        <f aca="false">FALSE()</f>
        <v>0</v>
      </c>
      <c r="N263" s="70" t="str">
        <f>IF(O263=TRUE(),$I263,"")</f>
        <v/>
      </c>
      <c r="O263" s="71" t="b">
        <f aca="false">FALSE()</f>
        <v>0</v>
      </c>
      <c r="P263" s="76" t="str">
        <f>IF(Q263=TRUE(),$I263,"")</f>
        <v/>
      </c>
      <c r="Q263" s="73" t="b">
        <f aca="false">FALSE()</f>
        <v>0</v>
      </c>
      <c r="R263" s="70" t="str">
        <f>IF(S263=TRUE(),$I263,"")</f>
        <v/>
      </c>
      <c r="S263" s="71" t="b">
        <f aca="false">FALSE()</f>
        <v>0</v>
      </c>
      <c r="T263" s="72" t="str">
        <f>IF(U263=TRUE(),$I263,"")</f>
        <v/>
      </c>
      <c r="U263" s="71" t="b">
        <f aca="false">FALSE()</f>
        <v>0</v>
      </c>
      <c r="V263" s="76" t="str">
        <f>IF(W263=TRUE(),$I263,"")</f>
        <v/>
      </c>
      <c r="W263" s="71" t="b">
        <f aca="false">FALSE()</f>
        <v>0</v>
      </c>
      <c r="X263" s="72" t="str">
        <f>IF(Y263=TRUE(),$I263,"")</f>
        <v/>
      </c>
      <c r="Y263" s="71" t="b">
        <f aca="false">FALSE()</f>
        <v>0</v>
      </c>
      <c r="Z263"/>
      <c r="AA263" t="inlineStr">
        <is>
          <t xml:space="preserve">PROCE</t>
        </is>
      </c>
      <c r="AB263"/>
    </row>
    <row r="264" spans="1:25" ht="14" x14ac:dyDescent="0.3">
      <c r="A264" s="10" t="n">
        <v>262</v>
      </c>
      <c r="B264" s="49" t="inlineStr">
        <is>
          <t xml:space="preserve">APEX PUBLICIDAD</t>
        </is>
      </c>
      <c r="C264" s="49" t="inlineStr">
        <is>
          <t xml:space="preserve">MINSAL INSTITUCIONAL</t>
        </is>
      </c>
      <c r="D264" s="89" t="n">
        <v>46296</v>
      </c>
      <c r="E264" s="89" t="n">
        <v>46326</v>
      </c>
      <c r="F264" s="35" t="n">
        <f>(E264-D264)+1</f>
        <v>31</v>
      </c>
      <c r="G264" s="67" t="n">
        <v>900</v>
      </c>
      <c r="H264" s="67" t="n">
        <v>1800</v>
      </c>
      <c r="I264" s="69" t="n">
        <f>IFERROR(H264/(F264*G264),"")</f>
        <v>0.06451612903225806</v>
      </c>
      <c r="J264" s="70" t="str">
        <f>IF(K264=TRUE(),$I264,"")</f>
        <v/>
      </c>
      <c r="K264" s="71" t="b">
        <f aca="false">FALSE()</f>
        <v>0</v>
      </c>
      <c r="L264" s="76" t="n">
        <f>IF(M264=TRUE(),$I264,"")</f>
        <v>0.06451612903225806</v>
      </c>
      <c r="M264" s="73" t="b">
        <f aca="false">TRUE()</f>
        <v>1</v>
      </c>
      <c r="N264" s="70" t="str">
        <f>IF(O264=TRUE(),$I264,"")</f>
        <v/>
      </c>
      <c r="O264" s="71" t="b">
        <f aca="false">FALSE()</f>
        <v>0</v>
      </c>
      <c r="P264" s="76" t="str">
        <f>IF(Q264=TRUE(),$I264,"")</f>
        <v/>
      </c>
      <c r="Q264" s="73" t="b">
        <f aca="false">FALSE()</f>
        <v>0</v>
      </c>
      <c r="R264" s="70" t="n">
        <f>IF(S264=TRUE(),$I264,"")</f>
        <v>0.06451612903225806</v>
      </c>
      <c r="S264" s="71" t="b">
        <f aca="false">TRUE()</f>
        <v>1</v>
      </c>
      <c r="T264" s="72" t="n">
        <f>IF(U264=TRUE(),$I264,"")</f>
        <v>0.06451612903225806</v>
      </c>
      <c r="U264" s="71" t="b">
        <f aca="false">TRUE()</f>
        <v>1</v>
      </c>
      <c r="V264" s="76" t="str">
        <f>IF(W264=TRUE(),$I264,"")</f>
        <v/>
      </c>
      <c r="W264" s="71" t="b">
        <f aca="false">FALSE()</f>
        <v>0</v>
      </c>
      <c r="X264" s="72" t="str">
        <f>IF(Y264=TRUE(),$I264,"")</f>
        <v/>
      </c>
      <c r="Y264" s="71" t="b">
        <f aca="false">FALSE()</f>
        <v>0</v>
      </c>
      <c r="Z264"/>
      <c r="AA264" t="inlineStr">
        <is>
          <t xml:space="preserve">HEROE, PASEO, BENITO</t>
        </is>
      </c>
      <c r="AB264"/>
    </row>
    <row r="265" spans="1:25" ht="14" x14ac:dyDescent="0.3">
      <c r="A265" s="10" t="n">
        <v>263</v>
      </c>
      <c r="B265" s="49" t="inlineStr">
        <is>
          <t xml:space="preserve">SIMAN</t>
        </is>
      </c>
      <c r="C265" s="49" t="inlineStr">
        <is>
          <t xml:space="preserve">VARIAS</t>
        </is>
      </c>
      <c r="D265" s="89" t="n">
        <v>46296</v>
      </c>
      <c r="E265" s="89" t="n">
        <v>46326</v>
      </c>
      <c r="F265" s="35" t="n">
        <f>(E265-D265)+1</f>
        <v>31</v>
      </c>
      <c r="G265" s="67" t="n">
        <v>450</v>
      </c>
      <c r="H265" s="67" t="n">
        <v>810</v>
      </c>
      <c r="I265" s="69" t="n">
        <f>IFERROR(H265/(F265*G265),"")</f>
        <v>0.05806451612903226</v>
      </c>
      <c r="J265" s="70" t="n">
        <f>IF(K265=TRUE(),$I265,"")</f>
        <v>0.05806451612903226</v>
      </c>
      <c r="K265" s="71" t="b">
        <f aca="false">TRUE()</f>
        <v>1</v>
      </c>
      <c r="L265" s="76" t="str">
        <f>IF(M265=TRUE(),$I265,"")</f>
        <v/>
      </c>
      <c r="M265" s="73" t="b">
        <f aca="false">FALSE()</f>
        <v>0</v>
      </c>
      <c r="N265" s="70" t="str">
        <f>IF(O265=TRUE(),$I265,"")</f>
        <v/>
      </c>
      <c r="O265" s="71" t="b">
        <f aca="false">FALSE()</f>
        <v>0</v>
      </c>
      <c r="P265" s="76" t="str">
        <f>IF(Q265=TRUE(),$I265,"")</f>
        <v/>
      </c>
      <c r="Q265" s="73" t="b">
        <f aca="false">FALSE()</f>
        <v>0</v>
      </c>
      <c r="R265" s="70" t="str">
        <f>IF(S265=TRUE(),$I265,"")</f>
        <v/>
      </c>
      <c r="S265" s="71" t="b">
        <f aca="false">FALSE()</f>
        <v>0</v>
      </c>
      <c r="T265" s="72" t="str">
        <f>IF(U265=TRUE(),$I265,"")</f>
        <v/>
      </c>
      <c r="U265" s="71" t="b">
        <f aca="false">FALSE()</f>
        <v>0</v>
      </c>
      <c r="V265" s="76" t="str">
        <f>IF(W265=TRUE(),$I265,"")</f>
        <v/>
      </c>
      <c r="W265" s="71" t="b">
        <f aca="false">FALSE()</f>
        <v>0</v>
      </c>
      <c r="X265" s="72" t="str">
        <f>IF(Y265=TRUE(),$I265,"")</f>
        <v/>
      </c>
      <c r="Y265" s="71" t="b">
        <f aca="false">FALSE()</f>
        <v>0</v>
      </c>
      <c r="Z265"/>
      <c r="AA265" t="inlineStr">
        <is>
          <t xml:space="preserve">PROCE</t>
        </is>
      </c>
      <c r="AB265"/>
    </row>
    <row r="266" spans="1:25" ht="14" x14ac:dyDescent="0.3">
      <c r="A266" s="10" t="n">
        <v>264</v>
      </c>
      <c r="B266" s="49" t="inlineStr">
        <is>
          <t xml:space="preserve">MOPT</t>
        </is>
      </c>
      <c r="C266" s="49" t="inlineStr">
        <is>
          <t xml:space="preserve">RESTRICCIONES DE HORARIO DE CARGA</t>
        </is>
      </c>
      <c r="D266" s="89" t="n">
        <v>46297</v>
      </c>
      <c r="E266" s="89" t="n">
        <v>46356</v>
      </c>
      <c r="F266" s="35" t="n">
        <f>(E266-D266)+1</f>
        <v>60</v>
      </c>
      <c r="G266" s="67" t="n">
        <v>2400</v>
      </c>
      <c r="H266" s="67"/>
      <c r="I266" s="69" t="str">
        <f>IFERROR(H266/(F266*G266),"")</f>
        <v/>
      </c>
      <c r="J266" s="70" t="str">
        <f>IF(K266=TRUE(),$I266,"")</f>
        <v/>
      </c>
      <c r="K266" s="71" t="b">
        <f aca="false">TRUE()</f>
        <v>1</v>
      </c>
      <c r="L266" s="76" t="str">
        <f>IF(M266=TRUE(),$I266,"")</f>
        <v/>
      </c>
      <c r="M266" s="73" t="b">
        <f aca="false">TRUE()</f>
        <v>1</v>
      </c>
      <c r="N266" s="70" t="str">
        <f>IF(O266=TRUE(),$I266,"")</f>
        <v/>
      </c>
      <c r="O266" s="71" t="b">
        <f aca="false">TRUE()</f>
        <v>1</v>
      </c>
      <c r="P266" s="76" t="str">
        <f>IF(Q266=TRUE(),$I266,"")</f>
        <v/>
      </c>
      <c r="Q266" s="73" t="b">
        <f aca="false">TRUE()</f>
        <v>1</v>
      </c>
      <c r="R266" s="70" t="str">
        <f>IF(S266=TRUE(),$I266,"")</f>
        <v/>
      </c>
      <c r="S266" s="71" t="b">
        <f aca="false">TRUE()</f>
        <v>1</v>
      </c>
      <c r="T266" s="72" t="str">
        <f>IF(U266=TRUE(),$I266,"")</f>
        <v/>
      </c>
      <c r="U266" s="71" t="b">
        <f aca="false">TRUE()</f>
        <v>1</v>
      </c>
      <c r="V266" s="76" t="str">
        <f>IF(W266=TRUE(),$I266,"")</f>
        <v/>
      </c>
      <c r="W266" s="71" t="b">
        <f aca="false">TRUE()</f>
        <v>1</v>
      </c>
      <c r="X266" s="72" t="str">
        <f>IF(Y266=TRUE(),$I266,"")</f>
        <v/>
      </c>
      <c r="Y266" s="71" t="b">
        <f aca="false">FALSE()</f>
        <v>0</v>
      </c>
      <c r="Z266" t="inlineStr">
        <is>
          <t xml:space="preserve">Donación</t>
        </is>
      </c>
      <c r="AA266" t="inlineStr">
        <is>
          <t xml:space="preserve">SDM, HEROE, PANAM, PROCE, PASEO, JERUSA, BENITO, JUANPA</t>
        </is>
      </c>
      <c r="AB266"/>
    </row>
    <row r="267" spans="8:8" ht="14" x14ac:dyDescent="0.3">
      <c r="H267" s="80"/>
    </row>
    <row r="268" spans="8:8" ht="14" x14ac:dyDescent="0.3">
      <c r="H268" s="80"/>
    </row>
    <row r="269" spans="8:8" ht="14" x14ac:dyDescent="0.3">
      <c r="H269" s="80"/>
    </row>
    <row r="270" spans="8:8" ht="14" x14ac:dyDescent="0.3">
      <c r="H270" s="80"/>
    </row>
    <row r="271" spans="8:8" ht="14" x14ac:dyDescent="0.3">
      <c r="H271" s="80"/>
    </row>
    <row r="272" spans="8:8" ht="14" x14ac:dyDescent="0.3">
      <c r="H272" s="80"/>
    </row>
    <row r="273" spans="8:8" ht="14" x14ac:dyDescent="0.3">
      <c r="H273" s="80"/>
    </row>
    <row r="274" spans="8:8" ht="14" x14ac:dyDescent="0.3">
      <c r="H274" s="80"/>
    </row>
    <row r="275" spans="8:8" ht="14" x14ac:dyDescent="0.3">
      <c r="H275" s="80"/>
    </row>
    <row r="276" spans="8:8" ht="14" x14ac:dyDescent="0.3">
      <c r="H276" s="80"/>
    </row>
    <row r="277" spans="8:8" ht="14" x14ac:dyDescent="0.3">
      <c r="H277" s="80"/>
    </row>
    <row r="278" spans="8:8" ht="14" x14ac:dyDescent="0.3">
      <c r="H278" s="80"/>
    </row>
    <row r="279" spans="8:8" ht="14" x14ac:dyDescent="0.3">
      <c r="H279" s="80"/>
    </row>
    <row r="280" spans="8:8" ht="14" x14ac:dyDescent="0.3">
      <c r="H280" s="80"/>
    </row>
    <row r="281" spans="8:8" ht="14" x14ac:dyDescent="0.3">
      <c r="H281" s="80"/>
    </row>
    <row r="282" spans="8:8" ht="14" x14ac:dyDescent="0.3">
      <c r="H282" s="80"/>
    </row>
    <row r="283" spans="8:8" ht="14" x14ac:dyDescent="0.3">
      <c r="H283" s="80"/>
    </row>
    <row r="284" spans="8:8" ht="14" x14ac:dyDescent="0.3">
      <c r="H284" s="80"/>
    </row>
    <row r="285" spans="8:8" ht="14" x14ac:dyDescent="0.3">
      <c r="H285" s="80"/>
    </row>
    <row r="286" spans="8:8" ht="14" x14ac:dyDescent="0.3">
      <c r="H286" s="80"/>
    </row>
    <row r="287" spans="8:8" ht="14" x14ac:dyDescent="0.3">
      <c r="H287" s="80"/>
    </row>
    <row r="288" spans="8:8" ht="14" x14ac:dyDescent="0.3">
      <c r="H288" s="80"/>
    </row>
    <row r="289" spans="8:8" ht="14" x14ac:dyDescent="0.3">
      <c r="H289" s="80"/>
    </row>
    <row r="290" spans="8:8" ht="14" x14ac:dyDescent="0.3">
      <c r="H290" s="80"/>
    </row>
    <row r="291" spans="8:8" ht="14" x14ac:dyDescent="0.3">
      <c r="H291" s="80"/>
    </row>
    <row r="292" spans="8:8" ht="14" x14ac:dyDescent="0.3">
      <c r="H292" s="80"/>
    </row>
    <row r="293" spans="8:8" ht="14" x14ac:dyDescent="0.3">
      <c r="H293" s="80"/>
    </row>
    <row r="294" spans="8:8" ht="14" x14ac:dyDescent="0.3">
      <c r="H294" s="80"/>
    </row>
    <row r="295" spans="8:8" ht="14" x14ac:dyDescent="0.3">
      <c r="H295" s="80"/>
    </row>
    <row r="296" spans="8:8" ht="14" x14ac:dyDescent="0.3">
      <c r="H296" s="80"/>
    </row>
    <row r="297" spans="8:8" ht="14" x14ac:dyDescent="0.3">
      <c r="H297" s="80"/>
    </row>
    <row r="298" spans="8:8" ht="14" x14ac:dyDescent="0.3">
      <c r="H298" s="80"/>
    </row>
    <row r="299" spans="8:8" ht="14" x14ac:dyDescent="0.3">
      <c r="H299" s="80"/>
    </row>
    <row r="300" spans="8:8" ht="14" x14ac:dyDescent="0.3">
      <c r="H300" s="80"/>
    </row>
    <row r="301" spans="8:8" ht="14" x14ac:dyDescent="0.3">
      <c r="H301" s="80"/>
    </row>
    <row r="302" spans="8:8" ht="14" x14ac:dyDescent="0.3">
      <c r="H302" s="80"/>
    </row>
    <row r="303" spans="8:8" ht="14" x14ac:dyDescent="0.3">
      <c r="H303" s="80"/>
    </row>
    <row r="304" spans="8:8" ht="14" x14ac:dyDescent="0.3">
      <c r="H304" s="80"/>
    </row>
    <row r="305" spans="8:8" ht="14" x14ac:dyDescent="0.3">
      <c r="H305" s="80"/>
    </row>
    <row r="306" spans="8:8" ht="14" x14ac:dyDescent="0.3">
      <c r="H306" s="80"/>
    </row>
    <row r="307" spans="8:8" ht="14" x14ac:dyDescent="0.3">
      <c r="H307" s="80"/>
    </row>
    <row r="308" spans="8:8" ht="14" x14ac:dyDescent="0.3">
      <c r="H308" s="80"/>
    </row>
    <row r="309" spans="8:8" ht="14" x14ac:dyDescent="0.3">
      <c r="H309" s="80"/>
    </row>
    <row r="310" spans="8:8" ht="14" x14ac:dyDescent="0.3">
      <c r="H310" s="80"/>
    </row>
    <row r="311" spans="8:8" ht="14" x14ac:dyDescent="0.3">
      <c r="H311" s="80"/>
    </row>
    <row r="312" spans="8:8" ht="14" x14ac:dyDescent="0.3">
      <c r="H312" s="80"/>
    </row>
    <row r="313" spans="8:8" ht="14" x14ac:dyDescent="0.3">
      <c r="H313" s="80"/>
    </row>
    <row r="314" spans="8:8" ht="14" x14ac:dyDescent="0.3">
      <c r="H314" s="80"/>
    </row>
    <row r="315" spans="8:8" ht="14" x14ac:dyDescent="0.3">
      <c r="H315" s="80"/>
    </row>
    <row r="316" spans="8:8" ht="14" x14ac:dyDescent="0.3">
      <c r="H316" s="80"/>
    </row>
    <row r="317" spans="8:8" ht="14" x14ac:dyDescent="0.3">
      <c r="H317" s="80"/>
    </row>
    <row r="318" spans="8:8" ht="14" x14ac:dyDescent="0.3">
      <c r="H318" s="80"/>
    </row>
    <row r="319" spans="8:8" ht="14" x14ac:dyDescent="0.3">
      <c r="H319" s="80"/>
    </row>
    <row r="320" spans="8:8" ht="14" x14ac:dyDescent="0.3">
      <c r="H320" s="80"/>
    </row>
    <row r="321" spans="8:8" ht="14" x14ac:dyDescent="0.3">
      <c r="H321" s="80"/>
    </row>
    <row r="322" spans="8:8" ht="14" x14ac:dyDescent="0.3">
      <c r="H322" s="80"/>
    </row>
    <row r="323" spans="8:8" ht="14" x14ac:dyDescent="0.3">
      <c r="H323" s="80"/>
    </row>
    <row r="324" spans="8:8" ht="14" x14ac:dyDescent="0.3">
      <c r="H324" s="80"/>
    </row>
    <row r="325" spans="8:8" ht="14" x14ac:dyDescent="0.3">
      <c r="H325" s="80"/>
    </row>
    <row r="326" spans="8:8" ht="14" x14ac:dyDescent="0.3">
      <c r="H326" s="80"/>
    </row>
    <row r="327" spans="8:8" ht="14" x14ac:dyDescent="0.3">
      <c r="H327" s="80"/>
    </row>
    <row r="328" spans="8:8" ht="14" x14ac:dyDescent="0.3">
      <c r="H328" s="80"/>
    </row>
    <row r="329" spans="8:8" ht="14" x14ac:dyDescent="0.3">
      <c r="H329" s="80"/>
    </row>
    <row r="330" spans="8:8" ht="14" x14ac:dyDescent="0.3">
      <c r="H330" s="80"/>
    </row>
    <row r="331" spans="8:8" ht="14" x14ac:dyDescent="0.3">
      <c r="H331" s="80"/>
    </row>
    <row r="332" spans="8:8" ht="14" x14ac:dyDescent="0.3">
      <c r="H332" s="80"/>
    </row>
    <row r="333" spans="8:8" ht="14" x14ac:dyDescent="0.3">
      <c r="H333" s="80"/>
    </row>
    <row r="334" spans="8:8" ht="14" x14ac:dyDescent="0.3">
      <c r="H334" s="80"/>
    </row>
    <row r="335" spans="8:8" ht="14" x14ac:dyDescent="0.3">
      <c r="H335" s="80"/>
    </row>
    <row r="336" spans="8:8" ht="14" x14ac:dyDescent="0.3">
      <c r="H336" s="80"/>
    </row>
    <row r="337" spans="8:8" ht="14" x14ac:dyDescent="0.3">
      <c r="H337" s="80"/>
    </row>
    <row r="338" spans="8:8" ht="14" x14ac:dyDescent="0.3">
      <c r="H338" s="80"/>
    </row>
    <row r="339" spans="8:8" ht="14" x14ac:dyDescent="0.3">
      <c r="H339" s="80"/>
    </row>
    <row r="340" spans="8:8" ht="14" x14ac:dyDescent="0.3">
      <c r="H340" s="80"/>
    </row>
    <row r="341" spans="8:8" ht="14" x14ac:dyDescent="0.3">
      <c r="H341" s="80"/>
    </row>
    <row r="342" spans="8:8" ht="14" x14ac:dyDescent="0.3">
      <c r="H342" s="80"/>
    </row>
    <row r="343" spans="8:8" ht="14" x14ac:dyDescent="0.3">
      <c r="H343" s="80"/>
    </row>
    <row r="344" spans="8:8" ht="14" x14ac:dyDescent="0.3">
      <c r="H344" s="80"/>
    </row>
    <row r="345" spans="8:8" ht="14" x14ac:dyDescent="0.3">
      <c r="H345" s="80"/>
    </row>
    <row r="346" spans="8:8" ht="14" x14ac:dyDescent="0.3">
      <c r="H346" s="80"/>
    </row>
    <row r="347" spans="8:8" ht="14" x14ac:dyDescent="0.3">
      <c r="H347" s="80"/>
    </row>
    <row r="348" spans="8:8" ht="14" x14ac:dyDescent="0.3">
      <c r="H348" s="80"/>
    </row>
    <row r="349" spans="8:8" ht="14" x14ac:dyDescent="0.3">
      <c r="H349" s="80"/>
    </row>
    <row r="350" spans="8:8" ht="14" x14ac:dyDescent="0.3">
      <c r="H350" s="80"/>
    </row>
    <row r="351" spans="8:8" ht="14" x14ac:dyDescent="0.3">
      <c r="H351" s="80"/>
    </row>
    <row r="352" spans="8:8" ht="14" x14ac:dyDescent="0.3">
      <c r="H352" s="80"/>
    </row>
    <row r="353" spans="8:8" ht="14" x14ac:dyDescent="0.3">
      <c r="H353" s="80"/>
    </row>
    <row r="354" spans="8:8" ht="14" x14ac:dyDescent="0.3">
      <c r="H354" s="80"/>
    </row>
    <row r="355" spans="8:8" ht="14" x14ac:dyDescent="0.3">
      <c r="H355" s="80"/>
    </row>
    <row r="356" spans="8:8" ht="14" x14ac:dyDescent="0.3">
      <c r="H356" s="80"/>
    </row>
    <row r="357" spans="8:8" ht="14" x14ac:dyDescent="0.3">
      <c r="H357" s="80"/>
    </row>
    <row r="358" spans="8:8" ht="14" x14ac:dyDescent="0.3">
      <c r="H358" s="80"/>
    </row>
    <row r="359" spans="8:8" ht="14" x14ac:dyDescent="0.3">
      <c r="H359" s="80"/>
    </row>
    <row r="360" spans="8:8" ht="14" x14ac:dyDescent="0.3">
      <c r="H360" s="80"/>
    </row>
    <row r="361" spans="8:8" ht="14" x14ac:dyDescent="0.3">
      <c r="H361" s="80"/>
    </row>
    <row r="362" spans="8:8" ht="14" x14ac:dyDescent="0.3">
      <c r="H362" s="80"/>
    </row>
    <row r="363" spans="8:8" ht="14" x14ac:dyDescent="0.3">
      <c r="H363" s="80"/>
    </row>
    <row r="364" spans="8:8" ht="14" x14ac:dyDescent="0.3">
      <c r="H364" s="80"/>
    </row>
    <row r="365" spans="8:8" ht="14" x14ac:dyDescent="0.3">
      <c r="H365" s="80"/>
    </row>
    <row r="366" spans="8:8" ht="14" x14ac:dyDescent="0.3">
      <c r="H366" s="80"/>
    </row>
    <row r="367" spans="8:8" ht="14" x14ac:dyDescent="0.3">
      <c r="H367" s="80"/>
    </row>
    <row r="368" spans="8:8" ht="14" x14ac:dyDescent="0.3">
      <c r="H368" s="80"/>
    </row>
    <row r="369" spans="8:8" ht="14" x14ac:dyDescent="0.3">
      <c r="H369" s="80"/>
    </row>
    <row r="370" spans="8:8" ht="14" x14ac:dyDescent="0.3">
      <c r="H370" s="80"/>
    </row>
    <row r="371" spans="8:8" ht="14" x14ac:dyDescent="0.3">
      <c r="H371" s="80"/>
    </row>
    <row r="372" spans="8:8" ht="14" x14ac:dyDescent="0.3">
      <c r="H372" s="80"/>
    </row>
    <row r="373" spans="8:8" ht="14" x14ac:dyDescent="0.3">
      <c r="H373" s="80"/>
    </row>
    <row r="374" spans="8:8" ht="14" x14ac:dyDescent="0.3">
      <c r="H374" s="80"/>
    </row>
    <row r="375" spans="8:8" ht="14" x14ac:dyDescent="0.3">
      <c r="H375" s="80"/>
    </row>
    <row r="376" spans="8:8" ht="14" x14ac:dyDescent="0.3">
      <c r="H376" s="80"/>
    </row>
    <row r="377" spans="8:8" ht="14" x14ac:dyDescent="0.3">
      <c r="H377" s="80"/>
    </row>
    <row r="378" spans="8:8" ht="14" x14ac:dyDescent="0.3">
      <c r="H378" s="80"/>
    </row>
    <row r="379" spans="8:8" ht="14" x14ac:dyDescent="0.3">
      <c r="H379" s="80"/>
    </row>
    <row r="380" spans="8:8" ht="14" x14ac:dyDescent="0.3">
      <c r="H380" s="80"/>
    </row>
    <row r="381" spans="8:8" ht="14" x14ac:dyDescent="0.3">
      <c r="H381" s="80"/>
    </row>
    <row r="382" spans="8:8" ht="14" x14ac:dyDescent="0.3">
      <c r="H382" s="80"/>
    </row>
    <row r="383" spans="8:8" ht="14" x14ac:dyDescent="0.3">
      <c r="H383" s="80"/>
    </row>
    <row r="384" spans="8:8" ht="14" x14ac:dyDescent="0.3">
      <c r="H384" s="80"/>
    </row>
    <row r="385" spans="8:8" ht="14" x14ac:dyDescent="0.3">
      <c r="H385" s="80"/>
    </row>
    <row r="386" spans="8:8" ht="14" x14ac:dyDescent="0.3">
      <c r="H386" s="80"/>
    </row>
    <row r="387" spans="8:8" ht="14" x14ac:dyDescent="0.3">
      <c r="H387" s="80"/>
    </row>
    <row r="388" spans="8:8" ht="14" x14ac:dyDescent="0.3">
      <c r="H388" s="80"/>
    </row>
    <row r="389" spans="8:8" ht="14" x14ac:dyDescent="0.3">
      <c r="H389" s="80"/>
    </row>
    <row r="390" spans="8:8" ht="14" x14ac:dyDescent="0.3">
      <c r="H390" s="80"/>
    </row>
    <row r="391" spans="8:8" ht="14" x14ac:dyDescent="0.3">
      <c r="H391" s="80"/>
    </row>
    <row r="392" spans="8:8" ht="14" x14ac:dyDescent="0.3">
      <c r="H392" s="80"/>
    </row>
    <row r="393" spans="8:8" ht="14" x14ac:dyDescent="0.3">
      <c r="H393" s="80"/>
    </row>
    <row r="394" spans="8:8" ht="14" x14ac:dyDescent="0.3">
      <c r="H394" s="80"/>
    </row>
    <row r="395" spans="8:8" ht="14" x14ac:dyDescent="0.3">
      <c r="H395" s="80"/>
    </row>
    <row r="396" spans="8:8" ht="14" x14ac:dyDescent="0.3">
      <c r="H396" s="80"/>
    </row>
    <row r="397" spans="8:8" ht="14" x14ac:dyDescent="0.3">
      <c r="H397" s="80"/>
    </row>
    <row r="398" spans="8:8" ht="14" x14ac:dyDescent="0.3">
      <c r="H398" s="80"/>
    </row>
    <row r="399" spans="8:8" ht="14" x14ac:dyDescent="0.3">
      <c r="H399" s="80"/>
    </row>
    <row r="400" spans="8:8" ht="14" x14ac:dyDescent="0.3">
      <c r="H400" s="80"/>
    </row>
    <row r="401" spans="8:8" ht="14" x14ac:dyDescent="0.3">
      <c r="H401" s="80"/>
    </row>
    <row r="402" spans="8:8" ht="14" x14ac:dyDescent="0.3">
      <c r="H402" s="80"/>
    </row>
    <row r="403" spans="8:8" ht="14" x14ac:dyDescent="0.3">
      <c r="H403" s="80"/>
    </row>
    <row r="404" spans="8:8" ht="14" x14ac:dyDescent="0.3">
      <c r="H404" s="80"/>
    </row>
    <row r="405" spans="8:8" ht="14" x14ac:dyDescent="0.3">
      <c r="H405" s="80"/>
    </row>
    <row r="406" spans="8:8" ht="14" x14ac:dyDescent="0.3">
      <c r="H406" s="80"/>
    </row>
    <row r="407" spans="8:8" ht="14" x14ac:dyDescent="0.3">
      <c r="H407" s="80"/>
    </row>
    <row r="408" spans="8:8" ht="14" x14ac:dyDescent="0.3">
      <c r="H408" s="80"/>
    </row>
    <row r="409" spans="8:8" ht="14" x14ac:dyDescent="0.3">
      <c r="H409" s="80"/>
    </row>
    <row r="410" spans="8:8" ht="14" x14ac:dyDescent="0.3">
      <c r="H410" s="80"/>
    </row>
    <row r="411" spans="8:8" ht="14" x14ac:dyDescent="0.3">
      <c r="H411" s="80"/>
    </row>
    <row r="412" spans="8:8" ht="14" x14ac:dyDescent="0.3">
      <c r="H412" s="80"/>
    </row>
    <row r="413" spans="8:8" ht="14" x14ac:dyDescent="0.3">
      <c r="H413" s="80"/>
    </row>
    <row r="414" spans="8:8" ht="14" x14ac:dyDescent="0.3">
      <c r="H414" s="80"/>
    </row>
    <row r="415" spans="8:8" ht="14" x14ac:dyDescent="0.3">
      <c r="H415" s="80"/>
    </row>
    <row r="416" spans="8:8" ht="14" x14ac:dyDescent="0.3">
      <c r="H416" s="80"/>
    </row>
    <row r="417" spans="8:8" ht="14" x14ac:dyDescent="0.3">
      <c r="H417" s="80"/>
    </row>
    <row r="418" spans="8:8" ht="14" x14ac:dyDescent="0.3">
      <c r="H418" s="80"/>
    </row>
    <row r="419" spans="8:8" ht="14" x14ac:dyDescent="0.3">
      <c r="H419" s="80"/>
    </row>
    <row r="420" spans="8:8" ht="14" x14ac:dyDescent="0.3">
      <c r="H420" s="80"/>
    </row>
    <row r="421" spans="8:8" ht="14" x14ac:dyDescent="0.3">
      <c r="H421" s="80"/>
    </row>
    <row r="422" spans="8:8" ht="14" x14ac:dyDescent="0.3">
      <c r="H422" s="80"/>
    </row>
    <row r="423" spans="8:8" ht="14" x14ac:dyDescent="0.3">
      <c r="H423" s="80"/>
    </row>
    <row r="424" spans="8:8" ht="14" x14ac:dyDescent="0.3">
      <c r="H424" s="80"/>
    </row>
    <row r="425" spans="8:8" ht="14" x14ac:dyDescent="0.3">
      <c r="H425" s="80"/>
    </row>
    <row r="426" spans="8:8" ht="14" x14ac:dyDescent="0.3">
      <c r="H426" s="80"/>
    </row>
    <row r="427" spans="8:8" ht="14" x14ac:dyDescent="0.3">
      <c r="H427" s="80"/>
    </row>
    <row r="428" spans="8:8" ht="14" x14ac:dyDescent="0.3">
      <c r="H428" s="80"/>
    </row>
    <row r="429" spans="8:8" ht="14" x14ac:dyDescent="0.3">
      <c r="H429" s="80"/>
    </row>
    <row r="430" spans="8:8" ht="14" x14ac:dyDescent="0.3">
      <c r="H430" s="80"/>
    </row>
    <row r="431" spans="8:8" ht="14" x14ac:dyDescent="0.3">
      <c r="H431" s="80"/>
    </row>
    <row r="432" spans="8:8" ht="14" x14ac:dyDescent="0.3">
      <c r="H432" s="80"/>
    </row>
    <row r="433" spans="8:8" ht="14" x14ac:dyDescent="0.3">
      <c r="H433" s="80"/>
    </row>
    <row r="434" spans="8:8" ht="14" x14ac:dyDescent="0.3">
      <c r="H434" s="80"/>
    </row>
    <row r="435" spans="8:8" ht="14" x14ac:dyDescent="0.3">
      <c r="H435" s="80"/>
    </row>
    <row r="436" spans="8:8" ht="14" x14ac:dyDescent="0.3">
      <c r="H436" s="80"/>
    </row>
    <row r="437" spans="8:8" ht="14" x14ac:dyDescent="0.3">
      <c r="H437" s="80"/>
    </row>
    <row r="438" spans="8:8" ht="14" x14ac:dyDescent="0.3">
      <c r="H438" s="80"/>
    </row>
    <row r="439" spans="8:8" ht="14" x14ac:dyDescent="0.3">
      <c r="H439" s="80"/>
    </row>
    <row r="440" spans="8:8" ht="14" x14ac:dyDescent="0.3">
      <c r="H440" s="80"/>
    </row>
    <row r="441" spans="8:8" ht="14" x14ac:dyDescent="0.3">
      <c r="H441" s="80"/>
    </row>
    <row r="442" spans="8:8" ht="14" x14ac:dyDescent="0.3">
      <c r="H442" s="80"/>
    </row>
    <row r="443" spans="8:8" ht="14" x14ac:dyDescent="0.3">
      <c r="H443" s="80"/>
    </row>
    <row r="444" spans="8:8" ht="14" x14ac:dyDescent="0.3">
      <c r="H444" s="80"/>
    </row>
    <row r="445" spans="8:8" ht="14" x14ac:dyDescent="0.3">
      <c r="H445" s="80"/>
    </row>
    <row r="446" spans="8:8" ht="14" x14ac:dyDescent="0.3">
      <c r="H446" s="80"/>
    </row>
    <row r="447" spans="8:8" ht="14" x14ac:dyDescent="0.3">
      <c r="H447" s="80"/>
    </row>
    <row r="448" spans="8:8" ht="14" x14ac:dyDescent="0.3">
      <c r="H448" s="80"/>
    </row>
    <row r="449" spans="8:8" ht="14" x14ac:dyDescent="0.3">
      <c r="H449" s="80"/>
    </row>
    <row r="450" spans="8:8" ht="14" x14ac:dyDescent="0.3">
      <c r="H450" s="80"/>
    </row>
    <row r="451" spans="8:8" ht="14" x14ac:dyDescent="0.3">
      <c r="H451" s="80"/>
    </row>
    <row r="452" spans="8:8" ht="14" x14ac:dyDescent="0.3">
      <c r="H452" s="80"/>
    </row>
    <row r="453" spans="8:8" ht="14" x14ac:dyDescent="0.3">
      <c r="H453" s="80"/>
    </row>
    <row r="454" spans="8:8" ht="14" x14ac:dyDescent="0.3">
      <c r="H454" s="80"/>
    </row>
    <row r="455" spans="8:8" ht="14" x14ac:dyDescent="0.3">
      <c r="H455" s="80"/>
    </row>
    <row r="456" spans="8:8" ht="14" x14ac:dyDescent="0.3">
      <c r="H456" s="80"/>
    </row>
    <row r="457" spans="8:8" ht="14" x14ac:dyDescent="0.3">
      <c r="H457" s="80"/>
    </row>
    <row r="458" spans="8:8" ht="14" x14ac:dyDescent="0.3">
      <c r="H458" s="80"/>
    </row>
    <row r="459" spans="8:8" ht="14" x14ac:dyDescent="0.3">
      <c r="H459" s="80"/>
    </row>
    <row r="460" spans="8:8" ht="14" x14ac:dyDescent="0.3">
      <c r="H460" s="80"/>
    </row>
    <row r="461" spans="8:8" ht="14" x14ac:dyDescent="0.3">
      <c r="H461" s="80"/>
    </row>
    <row r="462" spans="8:8" ht="14" x14ac:dyDescent="0.3">
      <c r="H462" s="80"/>
    </row>
    <row r="463" spans="8:8" ht="14" x14ac:dyDescent="0.3">
      <c r="H463" s="80"/>
    </row>
    <row r="464" spans="8:8" ht="14" x14ac:dyDescent="0.3">
      <c r="H464" s="80"/>
    </row>
    <row r="465" spans="8:8" ht="14" x14ac:dyDescent="0.3">
      <c r="H465" s="80"/>
    </row>
    <row r="466" spans="8:8" ht="14" x14ac:dyDescent="0.3">
      <c r="H466" s="80"/>
    </row>
    <row r="467" spans="8:8" ht="14" x14ac:dyDescent="0.3">
      <c r="H467" s="80"/>
    </row>
    <row r="468" spans="8:8" ht="14" x14ac:dyDescent="0.3">
      <c r="H468" s="80"/>
    </row>
    <row r="469" spans="8:8" ht="14" x14ac:dyDescent="0.3">
      <c r="H469" s="80"/>
    </row>
    <row r="470" spans="8:8" ht="14" x14ac:dyDescent="0.3">
      <c r="H470" s="80"/>
    </row>
    <row r="471" spans="8:8" ht="14" x14ac:dyDescent="0.3">
      <c r="H471" s="80"/>
    </row>
    <row r="472" spans="8:8" ht="14" x14ac:dyDescent="0.3">
      <c r="H472" s="80"/>
    </row>
    <row r="473" spans="8:8" ht="14" x14ac:dyDescent="0.3">
      <c r="H473" s="80"/>
    </row>
    <row r="474" spans="8:8" ht="14" x14ac:dyDescent="0.3">
      <c r="H474" s="80"/>
    </row>
    <row r="475" spans="8:8" ht="14" x14ac:dyDescent="0.3">
      <c r="H475" s="80"/>
    </row>
    <row r="476" spans="8:8" ht="14" x14ac:dyDescent="0.3">
      <c r="H476" s="80"/>
    </row>
    <row r="477" spans="8:8" ht="14" x14ac:dyDescent="0.3">
      <c r="H477" s="80"/>
    </row>
    <row r="478" spans="8:8" ht="14" x14ac:dyDescent="0.3">
      <c r="H478" s="80"/>
    </row>
    <row r="479" spans="8:8" ht="14" x14ac:dyDescent="0.3">
      <c r="H479" s="80"/>
    </row>
    <row r="480" spans="8:8" ht="14" x14ac:dyDescent="0.3">
      <c r="H480" s="80"/>
    </row>
    <row r="481" spans="8:8" ht="14" x14ac:dyDescent="0.3">
      <c r="H481" s="80"/>
    </row>
    <row r="482" spans="8:8" ht="14" x14ac:dyDescent="0.3">
      <c r="H482" s="80"/>
    </row>
    <row r="483" spans="8:8" ht="14" x14ac:dyDescent="0.3">
      <c r="H483" s="80"/>
    </row>
    <row r="484" spans="8:8" ht="14" x14ac:dyDescent="0.3">
      <c r="H484" s="80"/>
    </row>
    <row r="485" spans="8:8" ht="14" x14ac:dyDescent="0.3">
      <c r="H485" s="80"/>
    </row>
    <row r="486" spans="8:8" ht="14" x14ac:dyDescent="0.3">
      <c r="H486" s="80"/>
    </row>
    <row r="487" spans="8:8" ht="14" x14ac:dyDescent="0.3">
      <c r="H487" s="80"/>
    </row>
    <row r="488" spans="8:8" ht="14" x14ac:dyDescent="0.3">
      <c r="H488" s="80"/>
    </row>
    <row r="489" spans="8:8" ht="14" x14ac:dyDescent="0.3">
      <c r="H489" s="80"/>
    </row>
    <row r="490" spans="8:8" ht="14" x14ac:dyDescent="0.3">
      <c r="H490" s="80"/>
    </row>
    <row r="491" spans="8:8" ht="14" x14ac:dyDescent="0.3">
      <c r="H491" s="80"/>
    </row>
    <row r="492" spans="8:8" ht="14" x14ac:dyDescent="0.3">
      <c r="H492" s="80"/>
    </row>
    <row r="493" spans="8:8" ht="14" x14ac:dyDescent="0.3">
      <c r="H493" s="80"/>
    </row>
    <row r="494" spans="8:8" ht="14" x14ac:dyDescent="0.3">
      <c r="H494" s="80"/>
    </row>
    <row r="495" spans="8:8" ht="14" x14ac:dyDescent="0.3">
      <c r="H495" s="80"/>
    </row>
    <row r="496" spans="8:8" ht="14" x14ac:dyDescent="0.3">
      <c r="H496" s="80"/>
    </row>
    <row r="497" spans="8:8" ht="14" x14ac:dyDescent="0.3">
      <c r="H497" s="80"/>
    </row>
    <row r="498" spans="8:8" ht="14" x14ac:dyDescent="0.3">
      <c r="H498" s="80"/>
    </row>
    <row r="499" spans="8:8" ht="14" x14ac:dyDescent="0.3">
      <c r="H499" s="80"/>
    </row>
    <row r="500" spans="8:8" ht="14" x14ac:dyDescent="0.3">
      <c r="H500" s="80"/>
    </row>
    <row r="501" spans="8:8" ht="14" x14ac:dyDescent="0.3">
      <c r="H501" s="80"/>
    </row>
    <row r="502" spans="8:8" ht="14" x14ac:dyDescent="0.3">
      <c r="H502" s="80"/>
    </row>
    <row r="503" spans="8:8" ht="14" x14ac:dyDescent="0.3">
      <c r="H503" s="80"/>
    </row>
    <row r="504" spans="8:8" ht="14" x14ac:dyDescent="0.3">
      <c r="H504" s="80"/>
    </row>
    <row r="505" spans="8:8" ht="14" x14ac:dyDescent="0.3">
      <c r="H505" s="80"/>
    </row>
    <row r="506" spans="8:8" ht="14" x14ac:dyDescent="0.3">
      <c r="H506" s="80"/>
    </row>
    <row r="507" spans="8:8" ht="14" x14ac:dyDescent="0.3">
      <c r="H507" s="80"/>
    </row>
    <row r="508" spans="8:8" ht="14" x14ac:dyDescent="0.3">
      <c r="H508" s="80"/>
    </row>
    <row r="509" spans="8:8" ht="14" x14ac:dyDescent="0.3">
      <c r="H509" s="80"/>
    </row>
    <row r="510" spans="8:8" ht="14" x14ac:dyDescent="0.3">
      <c r="H510" s="80"/>
    </row>
    <row r="511" spans="8:8" ht="14" x14ac:dyDescent="0.3">
      <c r="H511" s="80"/>
    </row>
    <row r="512" spans="8:8" ht="14" x14ac:dyDescent="0.3">
      <c r="H512" s="80"/>
    </row>
    <row r="513" spans="8:8" ht="14" x14ac:dyDescent="0.3">
      <c r="H513" s="80"/>
    </row>
    <row r="514" spans="8:8" ht="14" x14ac:dyDescent="0.3">
      <c r="H514" s="80"/>
    </row>
    <row r="515" spans="8:8" ht="14" x14ac:dyDescent="0.3">
      <c r="H515" s="80"/>
    </row>
    <row r="516" spans="8:8" ht="14" x14ac:dyDescent="0.3">
      <c r="H516" s="80"/>
    </row>
    <row r="517" spans="8:8" ht="14" x14ac:dyDescent="0.3">
      <c r="H517" s="80"/>
    </row>
    <row r="518" spans="8:8" ht="14" x14ac:dyDescent="0.3">
      <c r="H518" s="80"/>
    </row>
    <row r="519" spans="8:8" ht="14" x14ac:dyDescent="0.3">
      <c r="H519" s="80"/>
    </row>
    <row r="520" spans="8:8" ht="14" x14ac:dyDescent="0.3">
      <c r="H520" s="80"/>
    </row>
    <row r="521" spans="8:8" ht="14" x14ac:dyDescent="0.3">
      <c r="H521" s="80"/>
    </row>
    <row r="522" spans="8:8" ht="14" x14ac:dyDescent="0.3">
      <c r="H522" s="80"/>
    </row>
    <row r="523" spans="8:8" ht="14" x14ac:dyDescent="0.3">
      <c r="H523" s="80"/>
    </row>
    <row r="524" spans="8:8" ht="14" x14ac:dyDescent="0.3">
      <c r="H524" s="80"/>
    </row>
    <row r="525" spans="8:8" ht="14" x14ac:dyDescent="0.3">
      <c r="H525" s="80"/>
    </row>
    <row r="526" spans="8:8" ht="14" x14ac:dyDescent="0.3">
      <c r="H526" s="80"/>
    </row>
    <row r="527" spans="8:8" ht="14" x14ac:dyDescent="0.3">
      <c r="H527" s="80"/>
    </row>
    <row r="528" spans="8:8" ht="14" x14ac:dyDescent="0.3">
      <c r="H528" s="80"/>
    </row>
    <row r="529" spans="8:8" ht="14" x14ac:dyDescent="0.3">
      <c r="H529" s="80"/>
    </row>
    <row r="530" spans="8:8" ht="14" x14ac:dyDescent="0.3">
      <c r="H530" s="80"/>
    </row>
    <row r="531" spans="8:8" ht="14" x14ac:dyDescent="0.3">
      <c r="H531" s="80"/>
    </row>
    <row r="532" spans="8:8" ht="14" x14ac:dyDescent="0.3">
      <c r="H532" s="80"/>
    </row>
    <row r="533" spans="8:8" ht="14" x14ac:dyDescent="0.3">
      <c r="H533" s="80"/>
    </row>
    <row r="534" spans="8:8" ht="14" x14ac:dyDescent="0.3">
      <c r="H534" s="80"/>
    </row>
    <row r="535" spans="8:8" ht="14" x14ac:dyDescent="0.3">
      <c r="H535" s="80"/>
    </row>
    <row r="536" spans="8:8" ht="14" x14ac:dyDescent="0.3">
      <c r="H536" s="80"/>
    </row>
    <row r="537" spans="8:8" ht="14" x14ac:dyDescent="0.3">
      <c r="H537" s="80"/>
    </row>
    <row r="538" spans="8:8" ht="14" x14ac:dyDescent="0.3">
      <c r="H538" s="80"/>
    </row>
    <row r="539" spans="8:8" ht="14" x14ac:dyDescent="0.3">
      <c r="H539" s="80"/>
    </row>
    <row r="540" spans="8:8" ht="14" x14ac:dyDescent="0.3">
      <c r="H540" s="80"/>
    </row>
    <row r="541" spans="8:8" ht="14" x14ac:dyDescent="0.3">
      <c r="H541" s="80"/>
    </row>
    <row r="542" spans="8:8" ht="14" x14ac:dyDescent="0.3">
      <c r="H542" s="80"/>
    </row>
    <row r="543" spans="8:8" ht="14" x14ac:dyDescent="0.3">
      <c r="H543" s="80"/>
    </row>
    <row r="544" spans="8:8" ht="14" x14ac:dyDescent="0.3">
      <c r="H544" s="80"/>
    </row>
    <row r="545" spans="8:8" ht="14" x14ac:dyDescent="0.3">
      <c r="H545" s="80"/>
    </row>
    <row r="546" spans="8:8" ht="14" x14ac:dyDescent="0.3">
      <c r="H546" s="80"/>
    </row>
    <row r="547" spans="8:8" ht="14" x14ac:dyDescent="0.3">
      <c r="H547" s="80"/>
    </row>
    <row r="548" spans="8:8" ht="14" x14ac:dyDescent="0.3">
      <c r="H548" s="80"/>
    </row>
    <row r="549" spans="8:8" ht="14" x14ac:dyDescent="0.3">
      <c r="H549" s="80"/>
    </row>
    <row r="550" spans="8:8" ht="14" x14ac:dyDescent="0.3">
      <c r="H550" s="80"/>
    </row>
    <row r="551" spans="8:8" ht="14" x14ac:dyDescent="0.3">
      <c r="H551" s="80"/>
    </row>
    <row r="552" spans="8:8" ht="14" x14ac:dyDescent="0.3">
      <c r="H552" s="80"/>
    </row>
    <row r="553" spans="8:8" ht="14" x14ac:dyDescent="0.3">
      <c r="H553" s="80"/>
    </row>
    <row r="554" spans="8:8" ht="14" x14ac:dyDescent="0.3">
      <c r="H554" s="80"/>
    </row>
    <row r="555" spans="8:8" ht="14" x14ac:dyDescent="0.3">
      <c r="H555" s="80"/>
    </row>
    <row r="556" spans="8:8" ht="14" x14ac:dyDescent="0.3">
      <c r="H556" s="80"/>
    </row>
    <row r="557" spans="8:8" ht="14" x14ac:dyDescent="0.3">
      <c r="H557" s="80"/>
    </row>
    <row r="558" spans="8:8" ht="14" x14ac:dyDescent="0.3">
      <c r="H558" s="80"/>
    </row>
    <row r="559" spans="8:8" ht="14" x14ac:dyDescent="0.3">
      <c r="H559" s="80"/>
    </row>
    <row r="560" spans="8:8" ht="14" x14ac:dyDescent="0.3">
      <c r="H560" s="80"/>
    </row>
    <row r="561" spans="8:8" ht="14" x14ac:dyDescent="0.3">
      <c r="H561" s="80"/>
    </row>
    <row r="562" spans="8:8" ht="14" x14ac:dyDescent="0.3">
      <c r="H562" s="80"/>
    </row>
    <row r="563" spans="8:8" ht="14" x14ac:dyDescent="0.3">
      <c r="H563" s="80"/>
    </row>
    <row r="564" spans="8:8" ht="14" x14ac:dyDescent="0.3">
      <c r="H564" s="80"/>
    </row>
    <row r="565" spans="8:8" ht="14" x14ac:dyDescent="0.3">
      <c r="H565" s="80"/>
    </row>
    <row r="566" spans="8:8" ht="14" x14ac:dyDescent="0.3">
      <c r="H566" s="80"/>
    </row>
    <row r="567" spans="8:8" ht="14" x14ac:dyDescent="0.3">
      <c r="H567" s="80"/>
    </row>
    <row r="568" spans="8:8" ht="14" x14ac:dyDescent="0.3">
      <c r="H568" s="80"/>
    </row>
    <row r="569" spans="8:8" ht="14" x14ac:dyDescent="0.3">
      <c r="H569" s="80"/>
    </row>
    <row r="570" spans="8:8" ht="14" x14ac:dyDescent="0.3">
      <c r="H570" s="80"/>
    </row>
    <row r="571" spans="8:8" ht="14" x14ac:dyDescent="0.3">
      <c r="H571" s="80"/>
    </row>
    <row r="572" spans="8:8" ht="14" x14ac:dyDescent="0.3">
      <c r="H572" s="80"/>
    </row>
    <row r="573" spans="8:8" ht="14" x14ac:dyDescent="0.3">
      <c r="H573" s="80"/>
    </row>
    <row r="574" spans="8:8" ht="14" x14ac:dyDescent="0.3">
      <c r="H574" s="80"/>
    </row>
    <row r="575" spans="8:8" ht="14" x14ac:dyDescent="0.3">
      <c r="H575" s="80"/>
    </row>
    <row r="576" spans="8:8" ht="14" x14ac:dyDescent="0.3">
      <c r="H576" s="80"/>
    </row>
    <row r="577" spans="8:8" ht="14" x14ac:dyDescent="0.3">
      <c r="H577" s="80"/>
    </row>
    <row r="578" spans="8:8" ht="14" x14ac:dyDescent="0.3">
      <c r="H578" s="80"/>
    </row>
    <row r="579" spans="8:8" ht="14" x14ac:dyDescent="0.3">
      <c r="H579" s="80"/>
    </row>
    <row r="580" spans="8:8" ht="14" x14ac:dyDescent="0.3">
      <c r="H580" s="80"/>
    </row>
    <row r="581" spans="8:8" ht="14" x14ac:dyDescent="0.3">
      <c r="H581" s="80"/>
    </row>
    <row r="582" spans="8:8" ht="14" x14ac:dyDescent="0.3">
      <c r="H582" s="80"/>
    </row>
    <row r="583" spans="8:8" ht="14" x14ac:dyDescent="0.3">
      <c r="H583" s="80"/>
    </row>
    <row r="584" spans="8:8" ht="14" x14ac:dyDescent="0.3">
      <c r="H584" s="80"/>
    </row>
    <row r="585" spans="8:8" ht="14" x14ac:dyDescent="0.3">
      <c r="H585" s="80"/>
    </row>
    <row r="586" spans="8:8" ht="14" x14ac:dyDescent="0.3">
      <c r="H586" s="80"/>
    </row>
    <row r="587" spans="8:8" ht="14" x14ac:dyDescent="0.3">
      <c r="H587" s="80"/>
    </row>
    <row r="588" spans="8:8" ht="14" x14ac:dyDescent="0.3">
      <c r="H588" s="80"/>
    </row>
    <row r="589" spans="8:8" ht="14" x14ac:dyDescent="0.3">
      <c r="H589" s="80"/>
    </row>
    <row r="590" spans="8:8" ht="14" x14ac:dyDescent="0.3">
      <c r="H590" s="80"/>
    </row>
    <row r="591" spans="8:8" ht="14" x14ac:dyDescent="0.3">
      <c r="H591" s="80"/>
    </row>
    <row r="592" spans="8:8" ht="14" x14ac:dyDescent="0.3">
      <c r="H592" s="80"/>
    </row>
    <row r="593" spans="8:8" ht="14" x14ac:dyDescent="0.3">
      <c r="H593" s="80"/>
    </row>
    <row r="594" spans="8:8" ht="14" x14ac:dyDescent="0.3">
      <c r="H594" s="80"/>
    </row>
    <row r="595" spans="8:8" ht="14" x14ac:dyDescent="0.3">
      <c r="H595" s="80"/>
    </row>
    <row r="596" spans="8:8" ht="14" x14ac:dyDescent="0.3">
      <c r="H596" s="80"/>
    </row>
    <row r="597" spans="8:8" ht="14" x14ac:dyDescent="0.3">
      <c r="H597" s="80"/>
    </row>
    <row r="598" spans="8:8" ht="14" x14ac:dyDescent="0.3">
      <c r="H598" s="80"/>
    </row>
    <row r="599" spans="8:8" ht="14" x14ac:dyDescent="0.3">
      <c r="H599" s="80"/>
    </row>
    <row r="600" spans="8:8" ht="14" x14ac:dyDescent="0.3">
      <c r="H600" s="80"/>
    </row>
    <row r="601" spans="8:8" ht="14" x14ac:dyDescent="0.3">
      <c r="H601" s="80"/>
    </row>
    <row r="602" spans="8:8" ht="14" x14ac:dyDescent="0.3">
      <c r="H602" s="80"/>
    </row>
    <row r="603" spans="8:8" ht="14" x14ac:dyDescent="0.3">
      <c r="H603" s="80"/>
    </row>
    <row r="604" spans="8:8" ht="14" x14ac:dyDescent="0.3">
      <c r="H604" s="80"/>
    </row>
    <row r="605" spans="8:8" ht="14" x14ac:dyDescent="0.3">
      <c r="H605" s="80"/>
    </row>
    <row r="606" spans="8:8" ht="14" x14ac:dyDescent="0.3">
      <c r="H606" s="80"/>
    </row>
    <row r="607" spans="8:8" ht="14" x14ac:dyDescent="0.3">
      <c r="H607" s="80"/>
    </row>
    <row r="608" spans="8:8" ht="14" x14ac:dyDescent="0.3">
      <c r="H608" s="80"/>
    </row>
    <row r="609" spans="8:8" ht="14" x14ac:dyDescent="0.3">
      <c r="H609" s="80"/>
    </row>
    <row r="610" spans="8:8" ht="14" x14ac:dyDescent="0.3">
      <c r="H610" s="80"/>
    </row>
    <row r="611" spans="8:8" ht="14" x14ac:dyDescent="0.3">
      <c r="H611" s="80"/>
    </row>
    <row r="612" spans="8:8" ht="14" x14ac:dyDescent="0.3">
      <c r="H612" s="80"/>
    </row>
    <row r="613" spans="8:8" ht="14" x14ac:dyDescent="0.3">
      <c r="H613" s="80"/>
    </row>
    <row r="614" spans="8:8" ht="14" x14ac:dyDescent="0.3">
      <c r="H614" s="80"/>
    </row>
    <row r="615" spans="8:8" ht="14" x14ac:dyDescent="0.3">
      <c r="H615" s="80"/>
    </row>
    <row r="616" spans="8:8" ht="14" x14ac:dyDescent="0.3">
      <c r="H616" s="80"/>
    </row>
    <row r="617" spans="8:8" ht="14" x14ac:dyDescent="0.3">
      <c r="H617" s="80"/>
    </row>
    <row r="618" spans="8:8" ht="14" x14ac:dyDescent="0.3">
      <c r="H618" s="80"/>
    </row>
    <row r="619" spans="8:8" ht="14" x14ac:dyDescent="0.3">
      <c r="H619" s="80"/>
    </row>
    <row r="620" spans="8:8" ht="14" x14ac:dyDescent="0.3">
      <c r="H620" s="80"/>
    </row>
    <row r="621" spans="8:8" ht="14" x14ac:dyDescent="0.3">
      <c r="H621" s="80"/>
    </row>
    <row r="622" spans="8:8" ht="14" x14ac:dyDescent="0.3">
      <c r="H622" s="80"/>
    </row>
    <row r="623" spans="8:8" ht="14" x14ac:dyDescent="0.3">
      <c r="H623" s="80"/>
    </row>
    <row r="624" spans="8:8" ht="14" x14ac:dyDescent="0.3">
      <c r="H624" s="80"/>
    </row>
    <row r="625" spans="8:8" ht="14" x14ac:dyDescent="0.3">
      <c r="H625" s="80"/>
    </row>
    <row r="626" spans="8:8" ht="14" x14ac:dyDescent="0.3">
      <c r="H626" s="80"/>
    </row>
    <row r="627" spans="8:8" ht="14" x14ac:dyDescent="0.3">
      <c r="H627" s="80"/>
    </row>
    <row r="628" spans="8:8" ht="14" x14ac:dyDescent="0.3">
      <c r="H628" s="80"/>
    </row>
    <row r="629" spans="8:8" ht="14" x14ac:dyDescent="0.3">
      <c r="H629" s="80"/>
    </row>
    <row r="630" spans="8:8" ht="14" x14ac:dyDescent="0.3">
      <c r="H630" s="80"/>
    </row>
    <row r="631" spans="8:8" ht="14" x14ac:dyDescent="0.3">
      <c r="H631" s="80"/>
    </row>
    <row r="632" spans="8:8" ht="14" x14ac:dyDescent="0.3">
      <c r="H632" s="80"/>
    </row>
    <row r="633" spans="8:8" ht="14" x14ac:dyDescent="0.3">
      <c r="H633" s="80"/>
    </row>
    <row r="634" spans="8:8" ht="14" x14ac:dyDescent="0.3">
      <c r="H634" s="80"/>
    </row>
    <row r="635" spans="8:8" ht="14" x14ac:dyDescent="0.3">
      <c r="H635" s="80"/>
    </row>
    <row r="636" spans="8:8" ht="14" x14ac:dyDescent="0.3">
      <c r="H636" s="80"/>
    </row>
    <row r="637" spans="8:8" ht="14" x14ac:dyDescent="0.3">
      <c r="H637" s="80"/>
    </row>
    <row r="638" spans="8:8" ht="14" x14ac:dyDescent="0.3">
      <c r="H638" s="80"/>
    </row>
    <row r="639" spans="8:8" ht="14" x14ac:dyDescent="0.3">
      <c r="H639" s="80"/>
    </row>
    <row r="640" spans="8:8" ht="14" x14ac:dyDescent="0.3">
      <c r="H640" s="80"/>
    </row>
    <row r="641" spans="8:8" ht="14" x14ac:dyDescent="0.3">
      <c r="H641" s="80"/>
    </row>
    <row r="642" spans="8:8" ht="14" x14ac:dyDescent="0.3">
      <c r="H642" s="80"/>
    </row>
    <row r="643" spans="8:8" ht="14" x14ac:dyDescent="0.3">
      <c r="H643" s="80"/>
    </row>
    <row r="644" spans="8:8" ht="14" x14ac:dyDescent="0.3">
      <c r="H644" s="80"/>
    </row>
    <row r="645" spans="8:8" ht="14" x14ac:dyDescent="0.3">
      <c r="H645" s="80"/>
    </row>
    <row r="646" spans="8:8" ht="14" x14ac:dyDescent="0.3">
      <c r="H646" s="80"/>
    </row>
    <row r="647" spans="8:8" ht="14" x14ac:dyDescent="0.3">
      <c r="H647" s="80"/>
    </row>
    <row r="648" spans="8:8" ht="14" x14ac:dyDescent="0.3">
      <c r="H648" s="80"/>
    </row>
    <row r="649" spans="8:8" ht="14" x14ac:dyDescent="0.3">
      <c r="H649" s="80"/>
    </row>
    <row r="650" spans="8:8" ht="14" x14ac:dyDescent="0.3">
      <c r="H650" s="80"/>
    </row>
    <row r="651" spans="8:8" ht="14" x14ac:dyDescent="0.3">
      <c r="H651" s="80"/>
    </row>
    <row r="652" spans="8:8" ht="14" x14ac:dyDescent="0.3">
      <c r="H652" s="80"/>
    </row>
    <row r="653" spans="8:8" ht="14" x14ac:dyDescent="0.3">
      <c r="H653" s="80"/>
    </row>
    <row r="654" spans="8:8" ht="14" x14ac:dyDescent="0.3">
      <c r="H654" s="80"/>
    </row>
    <row r="655" spans="8:8" ht="14" x14ac:dyDescent="0.3">
      <c r="H655" s="80"/>
    </row>
    <row r="656" spans="8:8" ht="14" x14ac:dyDescent="0.3">
      <c r="H656" s="80"/>
    </row>
    <row r="657" spans="8:8" ht="14" x14ac:dyDescent="0.3">
      <c r="H657" s="80"/>
    </row>
    <row r="658" spans="8:8" ht="14" x14ac:dyDescent="0.3">
      <c r="H658" s="80"/>
    </row>
    <row r="659" spans="8:8" ht="14" x14ac:dyDescent="0.3">
      <c r="H659" s="80"/>
    </row>
    <row r="660" spans="8:8" ht="14" x14ac:dyDescent="0.3">
      <c r="H660" s="80"/>
    </row>
    <row r="661" spans="8:8" ht="14" x14ac:dyDescent="0.3">
      <c r="H661" s="80"/>
    </row>
    <row r="662" spans="8:8" ht="14" x14ac:dyDescent="0.3">
      <c r="H662" s="80"/>
    </row>
    <row r="663" spans="8:8" ht="14" x14ac:dyDescent="0.3">
      <c r="H663" s="80"/>
    </row>
    <row r="664" spans="8:8" ht="14" x14ac:dyDescent="0.3">
      <c r="H664" s="80"/>
    </row>
    <row r="665" spans="8:8" ht="14" x14ac:dyDescent="0.3">
      <c r="H665" s="80"/>
    </row>
    <row r="666" spans="8:8" ht="14" x14ac:dyDescent="0.3">
      <c r="H666" s="80"/>
    </row>
    <row r="667" spans="8:8" ht="14" x14ac:dyDescent="0.3">
      <c r="H667" s="80"/>
    </row>
    <row r="668" spans="8:8" ht="14" x14ac:dyDescent="0.3">
      <c r="H668" s="80"/>
    </row>
    <row r="669" spans="8:8" ht="14" x14ac:dyDescent="0.3">
      <c r="H669" s="80"/>
    </row>
    <row r="670" spans="8:8" ht="14" x14ac:dyDescent="0.3">
      <c r="H670" s="80"/>
    </row>
    <row r="671" spans="8:8" ht="14" x14ac:dyDescent="0.3">
      <c r="H671" s="80"/>
    </row>
    <row r="672" spans="8:8" ht="14" x14ac:dyDescent="0.3">
      <c r="H672" s="80"/>
    </row>
    <row r="673" spans="8:8" ht="14" x14ac:dyDescent="0.3">
      <c r="H673" s="80"/>
    </row>
    <row r="674" spans="8:8" ht="14" x14ac:dyDescent="0.3">
      <c r="H674" s="80"/>
    </row>
    <row r="675" spans="8:8" ht="14" x14ac:dyDescent="0.3">
      <c r="H675" s="80"/>
    </row>
    <row r="676" spans="8:8" ht="14" x14ac:dyDescent="0.3">
      <c r="H676" s="80"/>
    </row>
    <row r="677" spans="8:8" ht="14" x14ac:dyDescent="0.3">
      <c r="H677" s="80"/>
    </row>
    <row r="678" spans="8:8" ht="14" x14ac:dyDescent="0.3">
      <c r="H678" s="80"/>
    </row>
    <row r="679" spans="8:8" ht="14" x14ac:dyDescent="0.3">
      <c r="H679" s="80"/>
    </row>
    <row r="680" spans="8:8" ht="14" x14ac:dyDescent="0.3">
      <c r="H680" s="80"/>
    </row>
    <row r="681" spans="8:8" ht="14" x14ac:dyDescent="0.3">
      <c r="H681" s="80"/>
    </row>
    <row r="682" spans="8:8" ht="14" x14ac:dyDescent="0.3">
      <c r="H682" s="80"/>
    </row>
    <row r="683" spans="8:8" ht="14" x14ac:dyDescent="0.3">
      <c r="H683" s="80"/>
    </row>
    <row r="684" spans="8:8" ht="14" x14ac:dyDescent="0.3">
      <c r="H684" s="80"/>
    </row>
    <row r="685" spans="8:8" ht="14" x14ac:dyDescent="0.3">
      <c r="H685" s="80"/>
    </row>
    <row r="686" spans="8:8" ht="14" x14ac:dyDescent="0.3">
      <c r="H686" s="80"/>
    </row>
    <row r="687" spans="8:8" ht="14" x14ac:dyDescent="0.3">
      <c r="H687" s="80"/>
    </row>
    <row r="688" spans="8:8" ht="14" x14ac:dyDescent="0.3">
      <c r="H688" s="80"/>
    </row>
    <row r="689" spans="8:8" ht="14" x14ac:dyDescent="0.3">
      <c r="H689" s="80"/>
    </row>
    <row r="690" spans="8:8" ht="14" x14ac:dyDescent="0.3">
      <c r="H690" s="80"/>
    </row>
    <row r="691" spans="8:8" ht="14" x14ac:dyDescent="0.3">
      <c r="H691" s="80"/>
    </row>
    <row r="692" spans="8:8" ht="14" x14ac:dyDescent="0.3">
      <c r="H692" s="80"/>
    </row>
    <row r="693" spans="8:8" ht="14" x14ac:dyDescent="0.3">
      <c r="H693" s="80"/>
    </row>
    <row r="694" spans="8:8" ht="14" x14ac:dyDescent="0.3">
      <c r="H694" s="80"/>
    </row>
    <row r="695" spans="8:8" ht="14" x14ac:dyDescent="0.3">
      <c r="H695" s="80"/>
    </row>
    <row r="696" spans="8:8" ht="14" x14ac:dyDescent="0.3">
      <c r="H696" s="80"/>
    </row>
    <row r="697" spans="8:8" ht="14" x14ac:dyDescent="0.3">
      <c r="H697" s="80"/>
    </row>
    <row r="698" spans="8:8" ht="14" x14ac:dyDescent="0.3">
      <c r="H698" s="80"/>
    </row>
    <row r="699" spans="8:8" ht="14" x14ac:dyDescent="0.3">
      <c r="H699" s="80"/>
    </row>
    <row r="700" spans="8:8" ht="14" x14ac:dyDescent="0.3">
      <c r="H700" s="80"/>
    </row>
    <row r="701" spans="8:8" ht="14" x14ac:dyDescent="0.3">
      <c r="H701" s="80"/>
    </row>
    <row r="702" spans="8:8" ht="14" x14ac:dyDescent="0.3">
      <c r="H702" s="80"/>
    </row>
    <row r="703" spans="8:8" ht="14" x14ac:dyDescent="0.3">
      <c r="H703" s="80"/>
    </row>
    <row r="704" spans="8:8" ht="14" x14ac:dyDescent="0.3">
      <c r="H704" s="80"/>
    </row>
    <row r="705" spans="8:8" ht="14" x14ac:dyDescent="0.3">
      <c r="H705" s="80"/>
    </row>
    <row r="706" spans="8:8" ht="14" x14ac:dyDescent="0.3">
      <c r="H706" s="80"/>
    </row>
    <row r="707" spans="8:8" ht="14" x14ac:dyDescent="0.3">
      <c r="H707" s="80"/>
    </row>
    <row r="708" spans="8:8" ht="14" x14ac:dyDescent="0.3">
      <c r="H708" s="80"/>
    </row>
    <row r="709" spans="8:8" ht="14" x14ac:dyDescent="0.3">
      <c r="H709" s="80"/>
    </row>
    <row r="710" spans="8:8" ht="14" x14ac:dyDescent="0.3">
      <c r="H710" s="80"/>
    </row>
    <row r="711" spans="8:8" ht="14" x14ac:dyDescent="0.3">
      <c r="H711" s="80"/>
    </row>
    <row r="712" spans="8:8" ht="14" x14ac:dyDescent="0.3">
      <c r="H712" s="80"/>
    </row>
    <row r="713" spans="8:8" ht="14" x14ac:dyDescent="0.3">
      <c r="H713" s="80"/>
    </row>
    <row r="714" spans="8:8" ht="14" x14ac:dyDescent="0.3">
      <c r="H714" s="80"/>
    </row>
    <row r="715" spans="8:8" ht="14" x14ac:dyDescent="0.3">
      <c r="H715" s="80"/>
    </row>
    <row r="716" spans="8:8" ht="14" x14ac:dyDescent="0.3">
      <c r="H716" s="80"/>
    </row>
    <row r="717" spans="8:8" ht="14" x14ac:dyDescent="0.3">
      <c r="H717" s="80"/>
    </row>
    <row r="718" spans="8:8" ht="14" x14ac:dyDescent="0.3">
      <c r="H718" s="80"/>
    </row>
    <row r="719" spans="8:8" ht="14" x14ac:dyDescent="0.3">
      <c r="H719" s="80"/>
    </row>
    <row r="720" spans="8:8" ht="14" x14ac:dyDescent="0.3">
      <c r="H720" s="80"/>
    </row>
    <row r="721" spans="8:8" ht="14" x14ac:dyDescent="0.3">
      <c r="H721" s="80"/>
    </row>
    <row r="722" spans="8:8" ht="14" x14ac:dyDescent="0.3">
      <c r="H722" s="80"/>
    </row>
    <row r="723" spans="8:8" ht="14" x14ac:dyDescent="0.3">
      <c r="H723" s="80"/>
    </row>
    <row r="724" spans="8:8" ht="14" x14ac:dyDescent="0.3">
      <c r="H724" s="80"/>
    </row>
    <row r="725" spans="8:8" ht="14" x14ac:dyDescent="0.3">
      <c r="H725" s="80"/>
    </row>
    <row r="726" spans="8:8" ht="14" x14ac:dyDescent="0.3">
      <c r="H726" s="80"/>
    </row>
    <row r="727" spans="8:8" ht="14" x14ac:dyDescent="0.3">
      <c r="H727" s="80"/>
    </row>
    <row r="728" spans="8:8" ht="14" x14ac:dyDescent="0.3">
      <c r="H728" s="80"/>
    </row>
    <row r="729" spans="8:8" ht="14" x14ac:dyDescent="0.3">
      <c r="H729" s="80"/>
    </row>
    <row r="730" spans="8:8" ht="14" x14ac:dyDescent="0.3">
      <c r="H730" s="80"/>
    </row>
    <row r="731" spans="8:8" ht="14" x14ac:dyDescent="0.3">
      <c r="H731" s="80"/>
    </row>
    <row r="732" spans="8:8" ht="14" x14ac:dyDescent="0.3">
      <c r="H732" s="80"/>
    </row>
    <row r="733" spans="8:8" ht="14" x14ac:dyDescent="0.3">
      <c r="H733" s="80"/>
    </row>
    <row r="734" spans="8:8" ht="14" x14ac:dyDescent="0.3">
      <c r="H734" s="80"/>
    </row>
    <row r="735" spans="8:8" ht="14" x14ac:dyDescent="0.3">
      <c r="H735" s="80"/>
    </row>
    <row r="736" spans="8:8" ht="14" x14ac:dyDescent="0.3">
      <c r="H736" s="80"/>
    </row>
    <row r="737" spans="8:8" ht="14" x14ac:dyDescent="0.3">
      <c r="H737" s="80"/>
    </row>
    <row r="738" spans="8:8" ht="14" x14ac:dyDescent="0.3">
      <c r="H738" s="80"/>
    </row>
    <row r="739" spans="8:8" ht="14" x14ac:dyDescent="0.3">
      <c r="H739" s="80"/>
    </row>
    <row r="740" spans="8:8" ht="14" x14ac:dyDescent="0.3">
      <c r="H740" s="80"/>
    </row>
    <row r="741" spans="8:8" ht="14" x14ac:dyDescent="0.3">
      <c r="H741" s="80"/>
    </row>
    <row r="742" spans="8:8" ht="14" x14ac:dyDescent="0.3">
      <c r="H742" s="80"/>
    </row>
    <row r="743" spans="8:8" ht="14" x14ac:dyDescent="0.3">
      <c r="H743" s="80"/>
    </row>
    <row r="744" spans="8:8" ht="14" x14ac:dyDescent="0.3">
      <c r="H744" s="80"/>
    </row>
    <row r="745" spans="8:8" ht="14" x14ac:dyDescent="0.3">
      <c r="H745" s="80"/>
    </row>
    <row r="746" spans="8:8" ht="14" x14ac:dyDescent="0.3">
      <c r="H746" s="80"/>
    </row>
    <row r="747" spans="8:8" ht="14" x14ac:dyDescent="0.3">
      <c r="H747" s="80"/>
    </row>
    <row r="748" spans="8:8" ht="14" x14ac:dyDescent="0.3">
      <c r="H748" s="80"/>
    </row>
    <row r="749" spans="8:8" ht="14" x14ac:dyDescent="0.3">
      <c r="H749" s="80"/>
    </row>
    <row r="750" spans="8:8" ht="14" x14ac:dyDescent="0.3">
      <c r="H750" s="80"/>
    </row>
    <row r="751" spans="8:8" ht="14" x14ac:dyDescent="0.3">
      <c r="H751" s="80"/>
    </row>
    <row r="752" spans="8:8" ht="14" x14ac:dyDescent="0.3">
      <c r="H752" s="80"/>
    </row>
    <row r="753" spans="8:8" ht="14" x14ac:dyDescent="0.3">
      <c r="H753" s="80"/>
    </row>
    <row r="754" spans="8:8" ht="14" x14ac:dyDescent="0.3">
      <c r="H754" s="80"/>
    </row>
    <row r="755" spans="8:8" ht="14" x14ac:dyDescent="0.3">
      <c r="H755" s="80"/>
    </row>
    <row r="756" spans="8:8" ht="14" x14ac:dyDescent="0.3">
      <c r="H756" s="80"/>
    </row>
    <row r="757" spans="8:8" ht="14" x14ac:dyDescent="0.3">
      <c r="H757" s="80"/>
    </row>
    <row r="758" spans="8:8" ht="14" x14ac:dyDescent="0.3">
      <c r="H758" s="80"/>
    </row>
    <row r="759" spans="8:8" ht="14" x14ac:dyDescent="0.3">
      <c r="H759" s="80"/>
    </row>
    <row r="760" spans="8:8" ht="14" x14ac:dyDescent="0.3">
      <c r="H760" s="80"/>
    </row>
    <row r="761" spans="8:8" ht="14" x14ac:dyDescent="0.3">
      <c r="H761" s="80"/>
    </row>
    <row r="762" spans="8:8" ht="14" x14ac:dyDescent="0.3">
      <c r="H762" s="80"/>
    </row>
    <row r="763" spans="8:8" ht="14" x14ac:dyDescent="0.3">
      <c r="H763" s="80"/>
    </row>
    <row r="764" spans="8:8" ht="14" x14ac:dyDescent="0.3">
      <c r="H764" s="80"/>
    </row>
    <row r="765" spans="8:8" ht="14" x14ac:dyDescent="0.3">
      <c r="H765" s="80"/>
    </row>
    <row r="766" spans="8:8" ht="14" x14ac:dyDescent="0.3">
      <c r="H766" s="80"/>
    </row>
    <row r="767" spans="8:8" ht="14" x14ac:dyDescent="0.3">
      <c r="H767" s="80"/>
    </row>
    <row r="768" spans="8:8" ht="14" x14ac:dyDescent="0.3">
      <c r="H768" s="80"/>
    </row>
    <row r="769" spans="8:8" ht="14" x14ac:dyDescent="0.3">
      <c r="H769" s="80"/>
    </row>
    <row r="770" spans="8:8" ht="14" x14ac:dyDescent="0.3">
      <c r="H770" s="80"/>
    </row>
    <row r="771" spans="8:8" ht="14" x14ac:dyDescent="0.3">
      <c r="H771" s="80"/>
    </row>
    <row r="772" spans="8:8" ht="14" x14ac:dyDescent="0.3">
      <c r="H772" s="80"/>
    </row>
    <row r="773" spans="8:8" ht="14" x14ac:dyDescent="0.3">
      <c r="H773" s="80"/>
    </row>
    <row r="774" spans="8:8" ht="14" x14ac:dyDescent="0.3">
      <c r="H774" s="80"/>
    </row>
    <row r="775" spans="8:8" ht="14" x14ac:dyDescent="0.3">
      <c r="H775" s="80"/>
    </row>
    <row r="776" spans="8:8" ht="14" x14ac:dyDescent="0.3">
      <c r="H776" s="80"/>
    </row>
    <row r="777" spans="8:8" ht="14" x14ac:dyDescent="0.3">
      <c r="H777" s="80"/>
    </row>
    <row r="778" spans="8:8" ht="14" x14ac:dyDescent="0.3">
      <c r="H778" s="80"/>
    </row>
    <row r="779" spans="8:8" ht="14" x14ac:dyDescent="0.3">
      <c r="H779" s="80"/>
    </row>
    <row r="780" spans="8:8" ht="14" x14ac:dyDescent="0.3">
      <c r="H780" s="80"/>
    </row>
    <row r="781" spans="8:8" ht="14" x14ac:dyDescent="0.3">
      <c r="H781" s="80"/>
    </row>
    <row r="782" spans="8:8" ht="14" x14ac:dyDescent="0.3">
      <c r="H782" s="80"/>
    </row>
    <row r="783" spans="8:8" ht="14" x14ac:dyDescent="0.3">
      <c r="H783" s="80"/>
    </row>
    <row r="784" spans="8:8" ht="14" x14ac:dyDescent="0.3">
      <c r="H784" s="80"/>
    </row>
    <row r="785" spans="8:8" ht="14" x14ac:dyDescent="0.3">
      <c r="H785" s="80"/>
    </row>
    <row r="786" spans="8:8" ht="14" x14ac:dyDescent="0.3">
      <c r="H786" s="80"/>
    </row>
    <row r="787" spans="8:8" ht="14" x14ac:dyDescent="0.3">
      <c r="H787" s="80"/>
    </row>
    <row r="788" spans="8:8" ht="14" x14ac:dyDescent="0.3">
      <c r="H788" s="80"/>
    </row>
    <row r="789" spans="8:8" ht="14" x14ac:dyDescent="0.3">
      <c r="H789" s="80"/>
    </row>
    <row r="790" spans="8:8" ht="14" x14ac:dyDescent="0.3">
      <c r="H790" s="80"/>
    </row>
    <row r="791" spans="8:8" ht="14" x14ac:dyDescent="0.3">
      <c r="H791" s="80"/>
    </row>
    <row r="792" spans="8:8" ht="14" x14ac:dyDescent="0.3">
      <c r="H792" s="80"/>
    </row>
    <row r="793" spans="8:8" ht="14" x14ac:dyDescent="0.3">
      <c r="H793" s="80"/>
    </row>
    <row r="794" spans="8:8" ht="14" x14ac:dyDescent="0.3">
      <c r="H794" s="80"/>
    </row>
    <row r="795" spans="8:8" ht="14" x14ac:dyDescent="0.3">
      <c r="H795" s="80"/>
    </row>
    <row r="796" spans="8:8" ht="14" x14ac:dyDescent="0.3">
      <c r="H796" s="80"/>
    </row>
    <row r="797" spans="8:8" ht="14" x14ac:dyDescent="0.3">
      <c r="H797" s="80"/>
    </row>
    <row r="798" spans="8:8" ht="14" x14ac:dyDescent="0.3">
      <c r="H798" s="80"/>
    </row>
    <row r="799" spans="8:8" ht="14" x14ac:dyDescent="0.3">
      <c r="H799" s="80"/>
    </row>
    <row r="800" spans="8:8" ht="14" x14ac:dyDescent="0.3">
      <c r="H800" s="80"/>
    </row>
    <row r="801" spans="8:8" ht="14" x14ac:dyDescent="0.3">
      <c r="H801" s="80"/>
    </row>
    <row r="802" spans="8:8" ht="14" x14ac:dyDescent="0.3">
      <c r="H802" s="80"/>
    </row>
    <row r="803" spans="8:8" ht="14" x14ac:dyDescent="0.3">
      <c r="H803" s="80"/>
    </row>
    <row r="804" spans="8:8" ht="14" x14ac:dyDescent="0.3">
      <c r="H804" s="80"/>
    </row>
    <row r="805" spans="8:8" ht="14" x14ac:dyDescent="0.3">
      <c r="H805" s="80"/>
    </row>
    <row r="806" spans="8:8" ht="14" x14ac:dyDescent="0.3">
      <c r="H806" s="80"/>
    </row>
    <row r="807" spans="8:8" ht="14" x14ac:dyDescent="0.3">
      <c r="H807" s="80"/>
    </row>
    <row r="808" spans="8:8" ht="14" x14ac:dyDescent="0.3">
      <c r="H808" s="80"/>
    </row>
    <row r="809" spans="8:8" ht="14" x14ac:dyDescent="0.3">
      <c r="H809" s="80"/>
    </row>
    <row r="810" spans="8:8" ht="14" x14ac:dyDescent="0.3">
      <c r="H810" s="80"/>
    </row>
    <row r="811" spans="8:8" ht="14" x14ac:dyDescent="0.3">
      <c r="H811" s="80"/>
    </row>
    <row r="812" spans="8:8" ht="14" x14ac:dyDescent="0.3">
      <c r="H812" s="80"/>
    </row>
    <row r="813" spans="8:8" ht="14" x14ac:dyDescent="0.3">
      <c r="H813" s="80"/>
    </row>
    <row r="814" spans="8:8" ht="14" x14ac:dyDescent="0.3">
      <c r="H814" s="80"/>
    </row>
    <row r="815" spans="8:8" ht="14" x14ac:dyDescent="0.3">
      <c r="H815" s="80"/>
    </row>
    <row r="816" spans="8:8" ht="14" x14ac:dyDescent="0.3">
      <c r="H816" s="80"/>
    </row>
    <row r="817" spans="8:8" ht="14" x14ac:dyDescent="0.3">
      <c r="H817" s="80"/>
    </row>
    <row r="818" spans="8:8" ht="14" x14ac:dyDescent="0.3">
      <c r="H818" s="80"/>
    </row>
    <row r="819" spans="8:8" ht="14" x14ac:dyDescent="0.3">
      <c r="H819" s="80"/>
    </row>
    <row r="820" spans="8:8" ht="14" x14ac:dyDescent="0.3">
      <c r="H820" s="80"/>
    </row>
    <row r="821" spans="8:8" ht="14" x14ac:dyDescent="0.3">
      <c r="H821" s="80"/>
    </row>
    <row r="822" spans="8:8" ht="14" x14ac:dyDescent="0.3">
      <c r="H822" s="80"/>
    </row>
    <row r="823" spans="8:8" ht="14" x14ac:dyDescent="0.3">
      <c r="H823" s="80"/>
    </row>
    <row r="824" spans="8:8" ht="14" x14ac:dyDescent="0.3">
      <c r="H824" s="80"/>
    </row>
    <row r="825" spans="8:8" ht="14" x14ac:dyDescent="0.3">
      <c r="H825" s="80"/>
    </row>
    <row r="826" spans="8:8" ht="14" x14ac:dyDescent="0.3">
      <c r="H826" s="80"/>
    </row>
    <row r="827" spans="8:8" ht="14" x14ac:dyDescent="0.3">
      <c r="H827" s="80"/>
    </row>
    <row r="828" spans="8:8" ht="14" x14ac:dyDescent="0.3">
      <c r="H828" s="80"/>
    </row>
    <row r="829" spans="8:8" ht="14" x14ac:dyDescent="0.3">
      <c r="H829" s="80"/>
    </row>
    <row r="830" spans="8:8" ht="14" x14ac:dyDescent="0.3">
      <c r="H830" s="80"/>
    </row>
    <row r="831" spans="8:8" ht="14" x14ac:dyDescent="0.3">
      <c r="H831" s="80"/>
    </row>
    <row r="832" spans="8:8" ht="14" x14ac:dyDescent="0.3">
      <c r="H832" s="80"/>
    </row>
    <row r="833" spans="8:8" ht="14" x14ac:dyDescent="0.3">
      <c r="H833" s="80"/>
    </row>
    <row r="834" spans="8:8" ht="14" x14ac:dyDescent="0.3">
      <c r="H834" s="80"/>
    </row>
    <row r="835" spans="8:8" ht="14" x14ac:dyDescent="0.3">
      <c r="H835" s="80"/>
    </row>
    <row r="836" spans="8:8" ht="14" x14ac:dyDescent="0.3">
      <c r="H836" s="80"/>
    </row>
    <row r="837" spans="8:8" ht="14" x14ac:dyDescent="0.3">
      <c r="H837" s="80"/>
    </row>
    <row r="838" spans="8:8" ht="14" x14ac:dyDescent="0.3">
      <c r="H838" s="80"/>
    </row>
    <row r="839" spans="8:8" ht="14" x14ac:dyDescent="0.3">
      <c r="H839" s="80"/>
    </row>
    <row r="840" spans="8:8" ht="14" x14ac:dyDescent="0.3">
      <c r="H840" s="80"/>
    </row>
    <row r="841" spans="8:8" ht="14" x14ac:dyDescent="0.3">
      <c r="H841" s="80"/>
    </row>
    <row r="842" spans="8:8" ht="14" x14ac:dyDescent="0.3">
      <c r="H842" s="80"/>
    </row>
    <row r="843" spans="8:8" ht="14" x14ac:dyDescent="0.3">
      <c r="H843" s="80"/>
    </row>
    <row r="844" spans="8:8" ht="14" x14ac:dyDescent="0.3">
      <c r="H844" s="80"/>
    </row>
    <row r="845" spans="8:8" ht="14" x14ac:dyDescent="0.3">
      <c r="H845" s="80"/>
    </row>
    <row r="846" spans="8:8" ht="14" x14ac:dyDescent="0.3">
      <c r="H846" s="80"/>
    </row>
    <row r="847" spans="8:8" ht="14" x14ac:dyDescent="0.3">
      <c r="H847" s="80"/>
    </row>
    <row r="848" spans="8:8" ht="14" x14ac:dyDescent="0.3">
      <c r="H848" s="80"/>
    </row>
    <row r="849" spans="8:8" ht="14" x14ac:dyDescent="0.3">
      <c r="H849" s="80"/>
    </row>
    <row r="850" spans="8:8" ht="14" x14ac:dyDescent="0.3">
      <c r="H850" s="80"/>
    </row>
    <row r="851" spans="8:8" ht="14" x14ac:dyDescent="0.3">
      <c r="H851" s="80"/>
    </row>
    <row r="852" spans="8:8" ht="14" x14ac:dyDescent="0.3">
      <c r="H852" s="80"/>
    </row>
    <row r="853" spans="8:8" ht="14" x14ac:dyDescent="0.3">
      <c r="H853" s="80"/>
    </row>
    <row r="854" spans="8:8" ht="14" x14ac:dyDescent="0.3">
      <c r="H854" s="80"/>
    </row>
    <row r="855" spans="8:8" ht="14" x14ac:dyDescent="0.3">
      <c r="H855" s="80"/>
    </row>
    <row r="856" spans="8:8" ht="14" x14ac:dyDescent="0.3">
      <c r="H856" s="80"/>
    </row>
    <row r="857" spans="8:8" ht="14" x14ac:dyDescent="0.3">
      <c r="H857" s="80"/>
    </row>
    <row r="858" spans="8:8" ht="14" x14ac:dyDescent="0.3">
      <c r="H858" s="80"/>
    </row>
    <row r="859" spans="8:8" ht="14" x14ac:dyDescent="0.3">
      <c r="H859" s="80"/>
    </row>
    <row r="860" spans="8:8" ht="14" x14ac:dyDescent="0.3">
      <c r="H860" s="80"/>
    </row>
    <row r="861" spans="8:8" ht="14" x14ac:dyDescent="0.3">
      <c r="H861" s="80"/>
    </row>
    <row r="862" spans="8:8" ht="14" x14ac:dyDescent="0.3">
      <c r="H862" s="80"/>
    </row>
    <row r="863" spans="8:8" ht="14" x14ac:dyDescent="0.3">
      <c r="H863" s="80"/>
    </row>
    <row r="864" spans="8:8" ht="14" x14ac:dyDescent="0.3">
      <c r="H864" s="80"/>
    </row>
    <row r="865" spans="8:8" ht="14" x14ac:dyDescent="0.3">
      <c r="H865" s="80"/>
    </row>
    <row r="866" spans="8:8" ht="14" x14ac:dyDescent="0.3">
      <c r="H866" s="80"/>
    </row>
    <row r="867" spans="8:8" ht="14" x14ac:dyDescent="0.3">
      <c r="H867" s="80"/>
    </row>
    <row r="868" spans="8:8" ht="14" x14ac:dyDescent="0.3">
      <c r="H868" s="80"/>
    </row>
    <row r="869" spans="8:8" ht="14" x14ac:dyDescent="0.3">
      <c r="H869" s="80"/>
    </row>
    <row r="870" spans="8:8" ht="14" x14ac:dyDescent="0.3">
      <c r="H870" s="80"/>
    </row>
    <row r="871" spans="8:8" ht="14" x14ac:dyDescent="0.3">
      <c r="H871" s="80"/>
    </row>
    <row r="872" spans="8:8" ht="14" x14ac:dyDescent="0.3">
      <c r="H872" s="80"/>
    </row>
    <row r="873" spans="8:8" ht="14" x14ac:dyDescent="0.3">
      <c r="H873" s="80"/>
    </row>
    <row r="874" spans="8:8" ht="14" x14ac:dyDescent="0.3">
      <c r="H874" s="80"/>
    </row>
    <row r="875" spans="8:8" ht="14" x14ac:dyDescent="0.3">
      <c r="H875" s="80"/>
    </row>
    <row r="876" spans="8:8" ht="14" x14ac:dyDescent="0.3">
      <c r="H876" s="80"/>
    </row>
    <row r="877" spans="8:8" ht="14" x14ac:dyDescent="0.3">
      <c r="H877" s="80"/>
    </row>
    <row r="878" spans="8:8" ht="14" x14ac:dyDescent="0.3">
      <c r="H878" s="80"/>
    </row>
    <row r="879" spans="8:8" ht="14" x14ac:dyDescent="0.3">
      <c r="H879" s="80"/>
    </row>
    <row r="880" spans="8:8" ht="14" x14ac:dyDescent="0.3">
      <c r="H880" s="80"/>
    </row>
    <row r="881" spans="8:8" ht="14" x14ac:dyDescent="0.3">
      <c r="H881" s="80"/>
    </row>
    <row r="882" spans="8:8" ht="14" x14ac:dyDescent="0.3">
      <c r="H882" s="80"/>
    </row>
    <row r="883" spans="8:8" ht="14" x14ac:dyDescent="0.3">
      <c r="H883" s="80"/>
    </row>
    <row r="884" spans="8:8" ht="14" x14ac:dyDescent="0.3">
      <c r="H884" s="80"/>
    </row>
    <row r="885" spans="8:8" ht="14" x14ac:dyDescent="0.3">
      <c r="H885" s="80"/>
    </row>
    <row r="886" spans="8:8" ht="14" x14ac:dyDescent="0.3">
      <c r="H886" s="80"/>
    </row>
    <row r="887" spans="8:8" ht="14" x14ac:dyDescent="0.3">
      <c r="H887" s="80"/>
    </row>
    <row r="888" spans="8:8" ht="14" x14ac:dyDescent="0.3">
      <c r="H888" s="80"/>
    </row>
    <row r="889" spans="8:8" ht="14" x14ac:dyDescent="0.3">
      <c r="H889" s="80"/>
    </row>
    <row r="890" spans="8:8" ht="14" x14ac:dyDescent="0.3">
      <c r="H890" s="80"/>
    </row>
    <row r="891" spans="8:8" ht="14" x14ac:dyDescent="0.3">
      <c r="H891" s="80"/>
    </row>
    <row r="892" spans="8:8" ht="14" x14ac:dyDescent="0.3">
      <c r="H892" s="80"/>
    </row>
    <row r="893" spans="8:8" ht="14" x14ac:dyDescent="0.3">
      <c r="H893" s="80"/>
    </row>
    <row r="894" spans="8:8" ht="14" x14ac:dyDescent="0.3">
      <c r="H894" s="80"/>
    </row>
    <row r="895" spans="8:8" ht="14" x14ac:dyDescent="0.3">
      <c r="H895" s="80"/>
    </row>
    <row r="896" spans="8:8" ht="14" x14ac:dyDescent="0.3">
      <c r="H896" s="80"/>
    </row>
    <row r="897" spans="8:8" ht="14" x14ac:dyDescent="0.3">
      <c r="H897" s="80"/>
    </row>
    <row r="898" spans="8:8" ht="14" x14ac:dyDescent="0.3">
      <c r="H898" s="80"/>
    </row>
    <row r="899" spans="8:8" ht="14" x14ac:dyDescent="0.3">
      <c r="H899" s="80"/>
    </row>
    <row r="900" spans="8:8" ht="14" x14ac:dyDescent="0.3">
      <c r="H900" s="80"/>
    </row>
    <row r="901" spans="8:8" ht="14" x14ac:dyDescent="0.3">
      <c r="H901" s="80"/>
    </row>
    <row r="902" spans="8:8" ht="14" x14ac:dyDescent="0.3">
      <c r="H902" s="80"/>
    </row>
    <row r="903" spans="8:8" ht="14" x14ac:dyDescent="0.3">
      <c r="H903" s="80"/>
    </row>
    <row r="904" spans="8:8" ht="14" x14ac:dyDescent="0.3">
      <c r="H904" s="80"/>
    </row>
    <row r="905" spans="8:8" ht="14" x14ac:dyDescent="0.3">
      <c r="H905" s="80"/>
    </row>
    <row r="906" spans="8:8" ht="14" x14ac:dyDescent="0.3">
      <c r="H906" s="80"/>
    </row>
    <row r="907" spans="8:8" ht="14" x14ac:dyDescent="0.3">
      <c r="H907" s="80"/>
    </row>
    <row r="908" spans="8:8" ht="14" x14ac:dyDescent="0.3">
      <c r="H908" s="80"/>
    </row>
    <row r="909" spans="8:8" ht="14" x14ac:dyDescent="0.3">
      <c r="H909" s="80"/>
    </row>
    <row r="910" spans="8:8" ht="14" x14ac:dyDescent="0.3">
      <c r="H910" s="80"/>
    </row>
    <row r="911" spans="8:8" ht="14" x14ac:dyDescent="0.3">
      <c r="H911" s="80"/>
    </row>
    <row r="912" spans="8:8" ht="14" x14ac:dyDescent="0.3">
      <c r="H912" s="80"/>
    </row>
    <row r="913" spans="8:8" ht="14" x14ac:dyDescent="0.3">
      <c r="H913" s="80"/>
    </row>
    <row r="914" spans="8:8" ht="14" x14ac:dyDescent="0.3">
      <c r="H914" s="80"/>
    </row>
    <row r="915" spans="8:8" ht="14" x14ac:dyDescent="0.3">
      <c r="H915" s="80"/>
    </row>
    <row r="916" spans="8:8" ht="14" x14ac:dyDescent="0.3">
      <c r="H916" s="80"/>
    </row>
    <row r="917" spans="8:8" ht="14" x14ac:dyDescent="0.3">
      <c r="H917" s="80"/>
    </row>
    <row r="918" spans="8:8" ht="14" x14ac:dyDescent="0.3">
      <c r="H918" s="80"/>
    </row>
    <row r="919" spans="8:8" ht="14" x14ac:dyDescent="0.3">
      <c r="H919" s="80"/>
    </row>
    <row r="920" spans="8:8" ht="14" x14ac:dyDescent="0.3">
      <c r="H920" s="80"/>
    </row>
    <row r="921" spans="8:8" ht="14" x14ac:dyDescent="0.3">
      <c r="H921" s="80"/>
    </row>
    <row r="922" spans="8:8" ht="14" x14ac:dyDescent="0.3">
      <c r="H922" s="80"/>
    </row>
    <row r="923" spans="8:8" ht="14" x14ac:dyDescent="0.3">
      <c r="H923" s="80"/>
    </row>
    <row r="924" spans="8:8" ht="14" x14ac:dyDescent="0.3">
      <c r="H924" s="80"/>
    </row>
    <row r="925" spans="8:8" ht="14" x14ac:dyDescent="0.3">
      <c r="H925" s="80"/>
    </row>
    <row r="926" spans="8:8" ht="14" x14ac:dyDescent="0.3">
      <c r="H926" s="80"/>
    </row>
    <row r="927" spans="8:8" ht="14" x14ac:dyDescent="0.3">
      <c r="H927" s="80"/>
    </row>
    <row r="928" spans="8:8" ht="14" x14ac:dyDescent="0.3">
      <c r="H928" s="80"/>
    </row>
    <row r="929" spans="8:8" ht="14" x14ac:dyDescent="0.3">
      <c r="H929" s="80"/>
    </row>
    <row r="930" spans="8:8" ht="14" x14ac:dyDescent="0.3">
      <c r="H930" s="80"/>
    </row>
    <row r="931" spans="8:8" ht="14" x14ac:dyDescent="0.3">
      <c r="H931" s="80"/>
    </row>
    <row r="932" spans="8:8" ht="14" x14ac:dyDescent="0.3">
      <c r="H932" s="80"/>
    </row>
    <row r="933" spans="8:8" ht="14" x14ac:dyDescent="0.3">
      <c r="H933" s="80"/>
    </row>
    <row r="934" spans="8:8" ht="14" x14ac:dyDescent="0.3">
      <c r="H934" s="80"/>
    </row>
    <row r="935" spans="8:8" ht="14" x14ac:dyDescent="0.3">
      <c r="H935" s="80"/>
    </row>
    <row r="936" spans="8:8" ht="14" x14ac:dyDescent="0.3">
      <c r="H936" s="80"/>
    </row>
    <row r="937" spans="8:8" ht="14" x14ac:dyDescent="0.3">
      <c r="H937" s="80"/>
    </row>
    <row r="938" spans="8:8" ht="14" x14ac:dyDescent="0.3">
      <c r="H938" s="80"/>
    </row>
    <row r="939" spans="8:8" ht="14" x14ac:dyDescent="0.3">
      <c r="H939" s="80"/>
    </row>
    <row r="940" spans="8:8" ht="14" x14ac:dyDescent="0.3">
      <c r="H940" s="80"/>
    </row>
    <row r="941" spans="8:8" ht="14" x14ac:dyDescent="0.3">
      <c r="H941" s="80"/>
    </row>
    <row r="942" spans="8:8" ht="14" x14ac:dyDescent="0.3">
      <c r="H942" s="80"/>
    </row>
    <row r="943" spans="8:8" ht="14" x14ac:dyDescent="0.3">
      <c r="H943" s="80"/>
    </row>
    <row r="944" spans="8:8" ht="14" x14ac:dyDescent="0.3">
      <c r="H944" s="80"/>
    </row>
    <row r="945" spans="8:8" ht="14" x14ac:dyDescent="0.3">
      <c r="H945" s="80"/>
    </row>
    <row r="946" spans="8:8" ht="14" x14ac:dyDescent="0.3">
      <c r="H946" s="80"/>
    </row>
    <row r="947" spans="8:8" ht="14" x14ac:dyDescent="0.3">
      <c r="H947" s="80"/>
    </row>
    <row r="948" spans="8:8" ht="14" x14ac:dyDescent="0.3">
      <c r="H948" s="80"/>
    </row>
    <row r="949" spans="8:8" ht="14" x14ac:dyDescent="0.3">
      <c r="H949" s="80"/>
    </row>
    <row r="950" spans="8:8" ht="14" x14ac:dyDescent="0.3">
      <c r="H950" s="80"/>
    </row>
    <row r="951" spans="8:8" ht="14" x14ac:dyDescent="0.3">
      <c r="H951" s="80"/>
    </row>
    <row r="952" spans="8:8" ht="14" x14ac:dyDescent="0.3">
      <c r="H952" s="80"/>
    </row>
    <row r="953" spans="8:8" ht="14" x14ac:dyDescent="0.3">
      <c r="H953" s="80"/>
    </row>
    <row r="954" spans="8:8" ht="14" x14ac:dyDescent="0.3">
      <c r="H954" s="80"/>
    </row>
    <row r="955" spans="8:8" ht="14" x14ac:dyDescent="0.3">
      <c r="H955" s="80"/>
    </row>
    <row r="956" spans="8:8" ht="14" x14ac:dyDescent="0.3">
      <c r="H956" s="80"/>
    </row>
    <row r="957" spans="8:8" ht="14" x14ac:dyDescent="0.3">
      <c r="H957" s="80"/>
    </row>
    <row r="958" spans="8:8" ht="14" x14ac:dyDescent="0.3">
      <c r="H958" s="80"/>
    </row>
    <row r="959" spans="8:8" ht="14" x14ac:dyDescent="0.3">
      <c r="H959" s="80"/>
    </row>
    <row r="960" spans="8:8" ht="14" x14ac:dyDescent="0.3">
      <c r="H960" s="80"/>
    </row>
    <row r="961" spans="8:8" ht="14" x14ac:dyDescent="0.3">
      <c r="H961" s="80"/>
    </row>
    <row r="962" spans="8:8" ht="14" x14ac:dyDescent="0.3">
      <c r="H962" s="80"/>
    </row>
    <row r="963" spans="8:8" ht="14" x14ac:dyDescent="0.3">
      <c r="H963" s="80"/>
    </row>
    <row r="964" spans="8:8" ht="14" x14ac:dyDescent="0.3">
      <c r="H964" s="80"/>
    </row>
    <row r="965" spans="8:8" ht="14" x14ac:dyDescent="0.3">
      <c r="H965" s="80"/>
    </row>
    <row r="966" spans="8:8" ht="14" x14ac:dyDescent="0.3">
      <c r="H966" s="80"/>
    </row>
    <row r="967" spans="8:8" ht="14" x14ac:dyDescent="0.3">
      <c r="H967" s="80"/>
    </row>
    <row r="968" spans="8:8" ht="14" x14ac:dyDescent="0.3">
      <c r="H968" s="80"/>
    </row>
    <row r="969" spans="8:8" ht="14" x14ac:dyDescent="0.3">
      <c r="H969" s="80"/>
    </row>
    <row r="970" spans="8:8" ht="14" x14ac:dyDescent="0.3">
      <c r="H970" s="80"/>
    </row>
    <row r="971" spans="8:8" ht="14" x14ac:dyDescent="0.3">
      <c r="H971" s="80"/>
    </row>
    <row r="972" spans="8:8" ht="14" x14ac:dyDescent="0.3">
      <c r="H972" s="80"/>
    </row>
    <row r="973" spans="8:8" ht="14" x14ac:dyDescent="0.3">
      <c r="H973" s="80"/>
    </row>
    <row r="974" spans="8:8" ht="14" x14ac:dyDescent="0.3">
      <c r="H974" s="80"/>
    </row>
    <row r="975" spans="8:8" ht="14" x14ac:dyDescent="0.3">
      <c r="H975" s="80"/>
    </row>
    <row r="976" spans="8:8" ht="14" x14ac:dyDescent="0.3">
      <c r="H976" s="80"/>
    </row>
    <row r="977" spans="8:8" ht="14" x14ac:dyDescent="0.3">
      <c r="H977" s="80"/>
    </row>
    <row r="978" spans="8:8" ht="14" x14ac:dyDescent="0.3">
      <c r="H978" s="80"/>
    </row>
    <row r="979" spans="8:8" ht="14" x14ac:dyDescent="0.3">
      <c r="H979" s="80"/>
    </row>
    <row r="980" spans="8:8" ht="14" x14ac:dyDescent="0.3">
      <c r="H980" s="80"/>
    </row>
    <row r="981" spans="8:8" ht="14" x14ac:dyDescent="0.3">
      <c r="H981" s="80"/>
    </row>
    <row r="982" spans="8:8" ht="14" x14ac:dyDescent="0.3">
      <c r="H982" s="80"/>
    </row>
    <row r="983" spans="8:8" ht="14" x14ac:dyDescent="0.3">
      <c r="H983" s="80"/>
    </row>
    <row r="984" spans="8:8" ht="14" x14ac:dyDescent="0.3">
      <c r="H984" s="80"/>
    </row>
    <row r="985" spans="8:8" ht="14" x14ac:dyDescent="0.3">
      <c r="H985" s="80"/>
    </row>
    <row r="986" spans="8:8" ht="14" x14ac:dyDescent="0.3">
      <c r="H986" s="80"/>
    </row>
    <row r="987" spans="8:8" ht="14" x14ac:dyDescent="0.3">
      <c r="H987" s="80"/>
    </row>
    <row r="988" spans="8:8" ht="14" x14ac:dyDescent="0.3">
      <c r="H988" s="80"/>
    </row>
    <row r="989" spans="8:8" ht="14" x14ac:dyDescent="0.3">
      <c r="H989" s="80"/>
    </row>
    <row r="990" spans="8:8" ht="14" x14ac:dyDescent="0.3">
      <c r="H990" s="80"/>
    </row>
    <row r="991" spans="8:8" ht="14" x14ac:dyDescent="0.3">
      <c r="H991" s="80"/>
    </row>
    <row r="992" spans="8:8" ht="14" x14ac:dyDescent="0.3">
      <c r="H992" s="80"/>
    </row>
    <row r="993" spans="8:8" ht="14" x14ac:dyDescent="0.3">
      <c r="H993" s="80"/>
    </row>
    <row r="994" spans="8:8" ht="14" x14ac:dyDescent="0.3">
      <c r="H994" s="80"/>
    </row>
    <row r="995" spans="8:8" ht="14" x14ac:dyDescent="0.3">
      <c r="H995" s="80"/>
    </row>
    <row r="996" spans="8:8" ht="14" x14ac:dyDescent="0.3">
      <c r="H996" s="80"/>
    </row>
    <row r="997" spans="8:8" ht="14" x14ac:dyDescent="0.3">
      <c r="H997" s="80"/>
    </row>
    <row r="998" spans="8:8" ht="14" x14ac:dyDescent="0.3">
      <c r="H998" s="80"/>
    </row>
  </sheetData>
  <mergeCells count="19">
    <mergeCell ref="T3:U3"/>
    <mergeCell ref="V3:W3"/>
    <mergeCell ref="X3:Y3"/>
    <mergeCell ref="B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U2"/>
    <mergeCell ref="J3:K3"/>
    <mergeCell ref="L3:M3"/>
    <mergeCell ref="N3:O3"/>
    <mergeCell ref="P3:Q3"/>
    <mergeCell ref="R3:S3"/>
  </mergeCells>
  <conditionalFormatting sqref="J4:Y180 J187:U188 W187:Y188">
    <cfRule type="expression" dxfId="1" priority="2">
      <formula>LEN(TRIM(J4))=0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202"/>
  <sheetViews>
    <sheetView zoomScaleNormal="100" workbookViewId="0">
      <pane ySplit="3" topLeftCell="A4" activePane="bottomLeft" state="frozen"/>
      <selection pane="bottomLeft" activeCell="B3" sqref="B3"/>
    </sheetView>
  </sheetViews>
  <sheetFormatPr baseColWidth="10" defaultColWidth="12.6328125" defaultRowHeight="12.5" x14ac:dyDescent="0.25"/>
  <cols>
    <col min="1" max="1" width="22.453125" customWidth="1"/>
    <col min="2" max="2" width="37.6328125" customWidth="1"/>
    <col min="3" max="10" width="22.453125" customWidth="1"/>
    <col min="11" max="11" width="3.26953125" customWidth="1"/>
    <col min="12" max="12" width="24.26953125" customWidth="1"/>
    <col min="13" max="13" width="3.453125" customWidth="1"/>
    <col min="14" max="14" width="24.36328125" customWidth="1"/>
    <col min="15" max="15" width="3.453125" customWidth="1"/>
    <col min="16" max="16" width="24.36328125" customWidth="1"/>
    <col min="17" max="17" width="3.453125" customWidth="1"/>
    <col min="18" max="18" width="24.36328125" customWidth="1"/>
    <col min="19" max="19" width="3.453125" customWidth="1"/>
    <col min="20" max="20" width="24.36328125" customWidth="1"/>
    <col min="21" max="21" width="3.453125" customWidth="1"/>
    <col min="22" max="22" width="14.36328125" customWidth="1"/>
    <col min="23" max="23" width="3.453125" customWidth="1"/>
    <col min="24" max="24" width="14.36328125" customWidth="1"/>
    <col min="25" max="25" width="3.453125" customWidth="1"/>
    <col min="26" max="47" width="14.36328125" customWidth="1"/>
  </cols>
  <sheetData>
    <row r="1" spans="1:47" ht="22.5" customHeight="1" x14ac:dyDescent="0.5">
      <c r="A1" s="8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</row>
    <row r="2" spans="1:47" ht="15.75" customHeight="1" x14ac:dyDescent="0.3">
      <c r="A2" s="7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5" t="s">
        <v>7</v>
      </c>
      <c r="H2" s="5" t="s">
        <v>8</v>
      </c>
      <c r="I2" s="5" t="s">
        <v>9</v>
      </c>
      <c r="J2" s="3" t="s">
        <v>10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47" ht="14" x14ac:dyDescent="0.3">
      <c r="A3" s="7"/>
      <c r="B3" s="6"/>
      <c r="C3" s="6"/>
      <c r="D3" s="6"/>
      <c r="E3" s="6"/>
      <c r="F3" s="6"/>
      <c r="G3" s="6"/>
      <c r="H3" s="6"/>
      <c r="I3" s="6"/>
      <c r="J3" s="2" t="s">
        <v>11</v>
      </c>
      <c r="K3" s="2"/>
      <c r="L3" s="2" t="s">
        <v>12</v>
      </c>
      <c r="M3" s="2"/>
      <c r="N3" s="2" t="s">
        <v>13</v>
      </c>
      <c r="O3" s="2"/>
      <c r="P3" s="2" t="s">
        <v>14</v>
      </c>
      <c r="Q3" s="2"/>
      <c r="R3" s="2" t="s">
        <v>15</v>
      </c>
      <c r="S3" s="2"/>
      <c r="T3" s="2" t="s">
        <v>16</v>
      </c>
      <c r="U3" s="2"/>
      <c r="V3" s="2" t="s">
        <v>17</v>
      </c>
      <c r="W3" s="2"/>
      <c r="X3" s="2" t="s">
        <v>18</v>
      </c>
      <c r="Y3" s="2"/>
    </row>
    <row r="4" spans="1:47" ht="14" x14ac:dyDescent="0.25">
      <c r="A4" s="10">
        <v>0</v>
      </c>
      <c r="B4" s="11" t="s">
        <v>19</v>
      </c>
      <c r="C4" s="11" t="s">
        <v>20</v>
      </c>
      <c r="D4" s="12">
        <v>46023</v>
      </c>
      <c r="E4" s="12">
        <v>46112</v>
      </c>
      <c r="F4" s="27">
        <f t="shared" ref="F4:F35" si="0">(E4-D4)+1</f>
        <v>90</v>
      </c>
      <c r="G4" s="14">
        <v>2700</v>
      </c>
      <c r="H4" s="15"/>
      <c r="I4" s="16"/>
      <c r="J4" s="17"/>
      <c r="K4" s="18" t="b">
        <f>FALSE()</f>
        <v>0</v>
      </c>
      <c r="L4" s="19"/>
      <c r="M4" s="19" t="b">
        <f>TRUE()</f>
        <v>1</v>
      </c>
      <c r="N4" s="17"/>
      <c r="O4" s="18" t="b">
        <f>FALSE()</f>
        <v>0</v>
      </c>
      <c r="P4" s="19"/>
      <c r="Q4" s="19" t="b">
        <f>TRUE()</f>
        <v>1</v>
      </c>
      <c r="R4" s="17"/>
      <c r="S4" s="18" t="b">
        <f>TRUE()</f>
        <v>1</v>
      </c>
      <c r="T4" s="19"/>
      <c r="U4" s="18" t="b">
        <f>FALSE()</f>
        <v>0</v>
      </c>
      <c r="V4" s="19"/>
      <c r="W4" s="18" t="b">
        <f>FALSE()</f>
        <v>0</v>
      </c>
      <c r="X4" s="19"/>
      <c r="Y4" s="18" t="b">
        <f>FALSE()</f>
        <v>0</v>
      </c>
    </row>
    <row r="5" spans="1:47" ht="14" x14ac:dyDescent="0.25">
      <c r="A5" s="10">
        <v>1</v>
      </c>
      <c r="B5" s="13" t="s">
        <v>21</v>
      </c>
      <c r="C5" s="13" t="s">
        <v>22</v>
      </c>
      <c r="D5" s="20">
        <v>46053</v>
      </c>
      <c r="E5" s="20">
        <v>46067</v>
      </c>
      <c r="F5" s="13">
        <f t="shared" si="0"/>
        <v>15</v>
      </c>
      <c r="G5" s="10">
        <v>1800</v>
      </c>
      <c r="H5" s="21">
        <v>1710</v>
      </c>
      <c r="I5" s="22">
        <f t="shared" ref="I5:I36" si="1">IFERROR(H5/(F5*G5),"")</f>
        <v>6.3333333333333339E-2</v>
      </c>
      <c r="J5" s="23">
        <f t="shared" ref="J5:J36" si="2">IF(K5=TRUE(),$I5,"")</f>
        <v>6.3333333333333339E-2</v>
      </c>
      <c r="K5" s="24" t="b">
        <f>TRUE()</f>
        <v>1</v>
      </c>
      <c r="L5" s="25">
        <f t="shared" ref="L5:L36" si="3">IF(M5=TRUE(),$I5,"")</f>
        <v>6.3333333333333339E-2</v>
      </c>
      <c r="M5" s="26" t="b">
        <f>TRUE()</f>
        <v>1</v>
      </c>
      <c r="N5" s="23">
        <f t="shared" ref="N5:N36" si="4">IF(O5=TRUE(),$I5,"")</f>
        <v>6.3333333333333339E-2</v>
      </c>
      <c r="O5" s="24" t="b">
        <f>TRUE()</f>
        <v>1</v>
      </c>
      <c r="P5" s="25">
        <f t="shared" ref="P5:P36" si="5">IF(Q5=TRUE(),$I5,"")</f>
        <v>6.3333333333333339E-2</v>
      </c>
      <c r="Q5" s="26" t="b">
        <f>TRUE()</f>
        <v>1</v>
      </c>
      <c r="R5" s="23">
        <f t="shared" ref="R5:R36" si="6">IF(S5=TRUE(),$I5,"")</f>
        <v>6.3333333333333339E-2</v>
      </c>
      <c r="S5" s="24" t="b">
        <f>TRUE()</f>
        <v>1</v>
      </c>
      <c r="T5" s="25">
        <f t="shared" ref="T5:T36" si="7">IF(U5=TRUE(),$I5,"")</f>
        <v>6.3333333333333339E-2</v>
      </c>
      <c r="U5" s="24" t="b">
        <f>TRUE()</f>
        <v>1</v>
      </c>
      <c r="V5" s="26"/>
      <c r="W5" s="24" t="b">
        <f>FALSE()</f>
        <v>0</v>
      </c>
      <c r="X5" s="26"/>
      <c r="Y5" s="24" t="b">
        <f>FALSE()</f>
        <v>0</v>
      </c>
    </row>
    <row r="6" spans="1:47" ht="14" x14ac:dyDescent="0.25">
      <c r="A6" s="10">
        <v>2</v>
      </c>
      <c r="B6" s="27" t="s">
        <v>23</v>
      </c>
      <c r="C6" s="27" t="s">
        <v>24</v>
      </c>
      <c r="D6" s="28">
        <v>46054</v>
      </c>
      <c r="E6" s="28">
        <v>46081</v>
      </c>
      <c r="F6" s="10">
        <f t="shared" si="0"/>
        <v>28</v>
      </c>
      <c r="G6" s="10">
        <v>300</v>
      </c>
      <c r="H6" s="21">
        <v>720</v>
      </c>
      <c r="I6" s="16">
        <f t="shared" si="1"/>
        <v>8.5714285714285715E-2</v>
      </c>
      <c r="J6" s="17" t="str">
        <f t="shared" si="2"/>
        <v/>
      </c>
      <c r="K6" s="18" t="b">
        <f>FALSE()</f>
        <v>0</v>
      </c>
      <c r="L6" s="19" t="str">
        <f t="shared" si="3"/>
        <v/>
      </c>
      <c r="M6" s="19" t="b">
        <f>FALSE()</f>
        <v>0</v>
      </c>
      <c r="N6" s="17" t="str">
        <f t="shared" si="4"/>
        <v/>
      </c>
      <c r="O6" s="18" t="b">
        <f>FALSE()</f>
        <v>0</v>
      </c>
      <c r="P6" s="29">
        <f t="shared" si="5"/>
        <v>8.5714285714285715E-2</v>
      </c>
      <c r="Q6" s="19" t="b">
        <f>TRUE()</f>
        <v>1</v>
      </c>
      <c r="R6" s="17" t="str">
        <f t="shared" si="6"/>
        <v/>
      </c>
      <c r="S6" s="18" t="b">
        <f>FALSE()</f>
        <v>0</v>
      </c>
      <c r="T6" s="19" t="str">
        <f t="shared" si="7"/>
        <v/>
      </c>
      <c r="U6" s="18" t="b">
        <f>FALSE()</f>
        <v>0</v>
      </c>
      <c r="V6" s="19"/>
      <c r="W6" s="18" t="b">
        <f>FALSE()</f>
        <v>0</v>
      </c>
      <c r="X6" s="19"/>
      <c r="Y6" s="18" t="b">
        <f>FALSE()</f>
        <v>0</v>
      </c>
    </row>
    <row r="7" spans="1:47" ht="14" x14ac:dyDescent="0.25">
      <c r="A7" s="10">
        <v>3</v>
      </c>
      <c r="B7" s="27" t="s">
        <v>25</v>
      </c>
      <c r="C7" s="27" t="s">
        <v>26</v>
      </c>
      <c r="D7" s="28">
        <v>46055</v>
      </c>
      <c r="E7" s="28">
        <v>46113</v>
      </c>
      <c r="F7" s="10">
        <f t="shared" si="0"/>
        <v>59</v>
      </c>
      <c r="G7" s="10">
        <v>1350</v>
      </c>
      <c r="H7" s="21">
        <v>4800</v>
      </c>
      <c r="I7" s="16">
        <f t="shared" si="1"/>
        <v>6.0263653483992465E-2</v>
      </c>
      <c r="J7" s="23">
        <f t="shared" si="2"/>
        <v>6.0263653483992465E-2</v>
      </c>
      <c r="K7" s="24" t="b">
        <f>TRUE()</f>
        <v>1</v>
      </c>
      <c r="L7" s="26" t="str">
        <f t="shared" si="3"/>
        <v/>
      </c>
      <c r="M7" s="26" t="b">
        <f>FALSE()</f>
        <v>0</v>
      </c>
      <c r="N7" s="30" t="str">
        <f t="shared" si="4"/>
        <v/>
      </c>
      <c r="O7" s="24" t="b">
        <f>FALSE()</f>
        <v>0</v>
      </c>
      <c r="P7" s="25">
        <f t="shared" si="5"/>
        <v>6.0263653483992465E-2</v>
      </c>
      <c r="Q7" s="26" t="b">
        <f>TRUE()</f>
        <v>1</v>
      </c>
      <c r="R7" s="23">
        <f t="shared" si="6"/>
        <v>6.0263653483992465E-2</v>
      </c>
      <c r="S7" s="24" t="b">
        <f>TRUE()</f>
        <v>1</v>
      </c>
      <c r="T7" s="26" t="str">
        <f t="shared" si="7"/>
        <v/>
      </c>
      <c r="U7" s="24" t="b">
        <f>FALSE()</f>
        <v>0</v>
      </c>
      <c r="V7" s="26"/>
      <c r="W7" s="24" t="b">
        <f>FALSE()</f>
        <v>0</v>
      </c>
      <c r="X7" s="26"/>
      <c r="Y7" s="24" t="b">
        <f>FALSE()</f>
        <v>0</v>
      </c>
    </row>
    <row r="8" spans="1:47" ht="14" x14ac:dyDescent="0.25">
      <c r="A8" s="10">
        <v>4</v>
      </c>
      <c r="B8" s="27" t="s">
        <v>27</v>
      </c>
      <c r="C8" s="27" t="s">
        <v>28</v>
      </c>
      <c r="D8" s="28">
        <v>46054</v>
      </c>
      <c r="E8" s="28">
        <v>46081</v>
      </c>
      <c r="F8" s="10">
        <f t="shared" si="0"/>
        <v>28</v>
      </c>
      <c r="G8" s="10">
        <v>600</v>
      </c>
      <c r="H8" s="21">
        <v>1440</v>
      </c>
      <c r="I8" s="16">
        <f t="shared" si="1"/>
        <v>8.5714285714285715E-2</v>
      </c>
      <c r="J8" s="17" t="str">
        <f t="shared" si="2"/>
        <v/>
      </c>
      <c r="K8" s="18" t="b">
        <f>FALSE()</f>
        <v>0</v>
      </c>
      <c r="L8" s="19" t="str">
        <f t="shared" si="3"/>
        <v/>
      </c>
      <c r="M8" s="19" t="b">
        <f>FALSE()</f>
        <v>0</v>
      </c>
      <c r="N8" s="17" t="str">
        <f t="shared" si="4"/>
        <v/>
      </c>
      <c r="O8" s="18" t="b">
        <f>FALSE()</f>
        <v>0</v>
      </c>
      <c r="P8" s="29">
        <f t="shared" si="5"/>
        <v>8.5714285714285715E-2</v>
      </c>
      <c r="Q8" s="19" t="b">
        <f>TRUE()</f>
        <v>1</v>
      </c>
      <c r="R8" s="17" t="str">
        <f t="shared" si="6"/>
        <v/>
      </c>
      <c r="S8" s="18" t="b">
        <f>FALSE()</f>
        <v>0</v>
      </c>
      <c r="T8" s="19" t="str">
        <f t="shared" si="7"/>
        <v/>
      </c>
      <c r="U8" s="18" t="b">
        <f>FALSE()</f>
        <v>0</v>
      </c>
      <c r="V8" s="19"/>
      <c r="W8" s="18" t="b">
        <f>FALSE()</f>
        <v>0</v>
      </c>
      <c r="X8" s="19"/>
      <c r="Y8" s="18" t="b">
        <f>FALSE()</f>
        <v>0</v>
      </c>
    </row>
    <row r="9" spans="1:47" ht="14" x14ac:dyDescent="0.25">
      <c r="A9" s="10">
        <v>5</v>
      </c>
      <c r="B9" s="27" t="s">
        <v>29</v>
      </c>
      <c r="C9" s="27" t="s">
        <v>30</v>
      </c>
      <c r="D9" s="28">
        <v>46054</v>
      </c>
      <c r="E9" s="28">
        <v>46081</v>
      </c>
      <c r="F9" s="10">
        <f t="shared" si="0"/>
        <v>28</v>
      </c>
      <c r="G9" s="10">
        <v>1350</v>
      </c>
      <c r="H9" s="21">
        <v>2350</v>
      </c>
      <c r="I9" s="16">
        <f t="shared" si="1"/>
        <v>6.2169312169312166E-2</v>
      </c>
      <c r="J9" s="30" t="str">
        <f t="shared" si="2"/>
        <v/>
      </c>
      <c r="K9" s="24" t="b">
        <f>FALSE()</f>
        <v>0</v>
      </c>
      <c r="L9" s="26" t="str">
        <f t="shared" si="3"/>
        <v/>
      </c>
      <c r="M9" s="26" t="b">
        <f>FALSE()</f>
        <v>0</v>
      </c>
      <c r="N9" s="23">
        <f t="shared" si="4"/>
        <v>6.2169312169312166E-2</v>
      </c>
      <c r="O9" s="24" t="b">
        <f>TRUE()</f>
        <v>1</v>
      </c>
      <c r="P9" s="26" t="str">
        <f t="shared" si="5"/>
        <v/>
      </c>
      <c r="Q9" s="26" t="b">
        <f>FALSE()</f>
        <v>0</v>
      </c>
      <c r="R9" s="23">
        <f t="shared" si="6"/>
        <v>6.2169312169312166E-2</v>
      </c>
      <c r="S9" s="24" t="b">
        <f>TRUE()</f>
        <v>1</v>
      </c>
      <c r="T9" s="25">
        <f t="shared" si="7"/>
        <v>6.2169312169312166E-2</v>
      </c>
      <c r="U9" s="24" t="b">
        <f>TRUE()</f>
        <v>1</v>
      </c>
      <c r="V9" s="26"/>
      <c r="W9" s="24" t="b">
        <f>FALSE()</f>
        <v>0</v>
      </c>
      <c r="X9" s="26"/>
      <c r="Y9" s="24" t="b">
        <f>FALSE()</f>
        <v>0</v>
      </c>
    </row>
    <row r="10" spans="1:47" ht="14" x14ac:dyDescent="0.25">
      <c r="A10" s="10">
        <v>6</v>
      </c>
      <c r="B10" s="27" t="s">
        <v>31</v>
      </c>
      <c r="C10" s="27" t="s">
        <v>32</v>
      </c>
      <c r="D10" s="28">
        <v>46054</v>
      </c>
      <c r="E10" s="28">
        <v>46081</v>
      </c>
      <c r="F10" s="10">
        <f t="shared" si="0"/>
        <v>28</v>
      </c>
      <c r="G10" s="10">
        <v>300</v>
      </c>
      <c r="H10" s="21">
        <v>550</v>
      </c>
      <c r="I10" s="16">
        <f t="shared" si="1"/>
        <v>6.5476190476190479E-2</v>
      </c>
      <c r="J10" s="31">
        <f t="shared" si="2"/>
        <v>6.5476190476190479E-2</v>
      </c>
      <c r="K10" s="18" t="b">
        <f>TRUE()</f>
        <v>1</v>
      </c>
      <c r="L10" s="19" t="str">
        <f t="shared" si="3"/>
        <v/>
      </c>
      <c r="M10" s="19" t="b">
        <f>FALSE()</f>
        <v>0</v>
      </c>
      <c r="N10" s="17" t="str">
        <f t="shared" si="4"/>
        <v/>
      </c>
      <c r="O10" s="18" t="b">
        <f>FALSE()</f>
        <v>0</v>
      </c>
      <c r="P10" s="19" t="str">
        <f t="shared" si="5"/>
        <v/>
      </c>
      <c r="Q10" s="19" t="b">
        <f>FALSE()</f>
        <v>0</v>
      </c>
      <c r="R10" s="17" t="str">
        <f t="shared" si="6"/>
        <v/>
      </c>
      <c r="S10" s="18" t="b">
        <f>FALSE()</f>
        <v>0</v>
      </c>
      <c r="T10" s="19" t="str">
        <f t="shared" si="7"/>
        <v/>
      </c>
      <c r="U10" s="18" t="b">
        <f>FALSE()</f>
        <v>0</v>
      </c>
      <c r="V10" s="19"/>
      <c r="W10" s="18" t="b">
        <f>FALSE()</f>
        <v>0</v>
      </c>
      <c r="X10" s="19"/>
      <c r="Y10" s="18" t="b">
        <f>FALSE()</f>
        <v>0</v>
      </c>
    </row>
    <row r="11" spans="1:47" ht="14" x14ac:dyDescent="0.25">
      <c r="A11" s="10">
        <v>7</v>
      </c>
      <c r="B11" s="27" t="s">
        <v>33</v>
      </c>
      <c r="C11" s="27" t="s">
        <v>34</v>
      </c>
      <c r="D11" s="28">
        <v>46054</v>
      </c>
      <c r="E11" s="28">
        <v>46081</v>
      </c>
      <c r="F11" s="10">
        <f t="shared" si="0"/>
        <v>28</v>
      </c>
      <c r="G11" s="10">
        <v>600</v>
      </c>
      <c r="H11" s="21">
        <v>1100</v>
      </c>
      <c r="I11" s="16">
        <f t="shared" si="1"/>
        <v>6.5476190476190479E-2</v>
      </c>
      <c r="J11" s="30" t="str">
        <f t="shared" si="2"/>
        <v/>
      </c>
      <c r="K11" s="24" t="b">
        <f>FALSE()</f>
        <v>0</v>
      </c>
      <c r="L11" s="26" t="str">
        <f t="shared" si="3"/>
        <v/>
      </c>
      <c r="M11" s="26" t="b">
        <f>FALSE()</f>
        <v>0</v>
      </c>
      <c r="N11" s="30" t="str">
        <f t="shared" si="4"/>
        <v/>
      </c>
      <c r="O11" s="24" t="b">
        <f>FALSE()</f>
        <v>0</v>
      </c>
      <c r="P11" s="25">
        <f t="shared" si="5"/>
        <v>6.5476190476190479E-2</v>
      </c>
      <c r="Q11" s="26" t="b">
        <f>TRUE()</f>
        <v>1</v>
      </c>
      <c r="R11" s="23">
        <f t="shared" si="6"/>
        <v>6.5476190476190479E-2</v>
      </c>
      <c r="S11" s="24" t="b">
        <f>TRUE()</f>
        <v>1</v>
      </c>
      <c r="T11" s="26" t="str">
        <f t="shared" si="7"/>
        <v/>
      </c>
      <c r="U11" s="18" t="b">
        <f>FALSE()</f>
        <v>0</v>
      </c>
      <c r="V11" s="26"/>
      <c r="W11" s="18" t="b">
        <f>FALSE()</f>
        <v>0</v>
      </c>
      <c r="X11" s="26"/>
      <c r="Y11" s="18" t="b">
        <f>FALSE()</f>
        <v>0</v>
      </c>
    </row>
    <row r="12" spans="1:47" ht="14" x14ac:dyDescent="0.25">
      <c r="A12" s="32">
        <v>8</v>
      </c>
      <c r="B12" s="27" t="s">
        <v>35</v>
      </c>
      <c r="C12" s="27" t="s">
        <v>36</v>
      </c>
      <c r="D12" s="28">
        <v>46058</v>
      </c>
      <c r="E12" s="28">
        <v>46146</v>
      </c>
      <c r="F12" s="10">
        <f t="shared" si="0"/>
        <v>89</v>
      </c>
      <c r="G12" s="10">
        <v>600</v>
      </c>
      <c r="H12" s="21">
        <v>2160</v>
      </c>
      <c r="I12" s="16">
        <f t="shared" si="1"/>
        <v>4.0449438202247189E-2</v>
      </c>
      <c r="J12" s="17" t="str">
        <f t="shared" si="2"/>
        <v/>
      </c>
      <c r="K12" s="18" t="b">
        <f>FALSE()</f>
        <v>0</v>
      </c>
      <c r="L12" s="19" t="str">
        <f t="shared" si="3"/>
        <v/>
      </c>
      <c r="M12" s="19" t="b">
        <f>FALSE()</f>
        <v>0</v>
      </c>
      <c r="N12" s="17" t="str">
        <f t="shared" si="4"/>
        <v/>
      </c>
      <c r="O12" s="18" t="b">
        <f>FALSE()</f>
        <v>0</v>
      </c>
      <c r="P12" s="29">
        <f t="shared" si="5"/>
        <v>4.0449438202247189E-2</v>
      </c>
      <c r="Q12" s="19" t="b">
        <f>TRUE()</f>
        <v>1</v>
      </c>
      <c r="R12" s="17" t="str">
        <f t="shared" si="6"/>
        <v/>
      </c>
      <c r="S12" s="18" t="b">
        <f>FALSE()</f>
        <v>0</v>
      </c>
      <c r="T12" s="29">
        <f t="shared" si="7"/>
        <v>4.0449438202247189E-2</v>
      </c>
      <c r="U12" s="18" t="b">
        <f>TRUE()</f>
        <v>1</v>
      </c>
      <c r="V12" s="19"/>
      <c r="W12" s="18" t="b">
        <f>FALSE()</f>
        <v>0</v>
      </c>
      <c r="X12" s="19"/>
      <c r="Y12" s="18" t="b">
        <f>FALSE()</f>
        <v>0</v>
      </c>
    </row>
    <row r="13" spans="1:47" ht="14" x14ac:dyDescent="0.25">
      <c r="A13" s="10">
        <v>9</v>
      </c>
      <c r="B13" s="27" t="s">
        <v>37</v>
      </c>
      <c r="C13" s="27" t="s">
        <v>38</v>
      </c>
      <c r="D13" s="28">
        <v>46058</v>
      </c>
      <c r="E13" s="28">
        <v>46063</v>
      </c>
      <c r="F13" s="10">
        <f t="shared" si="0"/>
        <v>6</v>
      </c>
      <c r="G13" s="10">
        <v>450</v>
      </c>
      <c r="H13" s="15"/>
      <c r="I13" s="16">
        <f t="shared" si="1"/>
        <v>0</v>
      </c>
      <c r="J13" s="30" t="str">
        <f t="shared" si="2"/>
        <v/>
      </c>
      <c r="K13" s="24" t="b">
        <f>FALSE()</f>
        <v>0</v>
      </c>
      <c r="L13" s="26" t="str">
        <f t="shared" si="3"/>
        <v/>
      </c>
      <c r="M13" s="26" t="b">
        <f>FALSE()</f>
        <v>0</v>
      </c>
      <c r="N13" s="30" t="str">
        <f t="shared" si="4"/>
        <v/>
      </c>
      <c r="O13" s="24" t="b">
        <f>FALSE()</f>
        <v>0</v>
      </c>
      <c r="P13" s="26" t="str">
        <f t="shared" si="5"/>
        <v/>
      </c>
      <c r="Q13" s="26" t="b">
        <f>FALSE()</f>
        <v>0</v>
      </c>
      <c r="R13" s="23">
        <f t="shared" si="6"/>
        <v>0</v>
      </c>
      <c r="S13" s="24" t="b">
        <f>TRUE()</f>
        <v>1</v>
      </c>
      <c r="T13" s="26" t="str">
        <f t="shared" si="7"/>
        <v/>
      </c>
      <c r="U13" s="24" t="b">
        <f>FALSE()</f>
        <v>0</v>
      </c>
      <c r="V13" s="26"/>
      <c r="W13" s="24" t="b">
        <f>FALSE()</f>
        <v>0</v>
      </c>
      <c r="X13" s="26"/>
      <c r="Y13" s="24" t="b">
        <f>FALSE()</f>
        <v>0</v>
      </c>
    </row>
    <row r="14" spans="1:47" ht="14" x14ac:dyDescent="0.25">
      <c r="A14" s="10">
        <v>10</v>
      </c>
      <c r="B14" s="27" t="s">
        <v>39</v>
      </c>
      <c r="C14" s="27" t="s">
        <v>40</v>
      </c>
      <c r="D14" s="28">
        <v>46058</v>
      </c>
      <c r="E14" s="28">
        <v>46081</v>
      </c>
      <c r="F14" s="10">
        <f t="shared" si="0"/>
        <v>24</v>
      </c>
      <c r="G14" s="10">
        <v>600</v>
      </c>
      <c r="H14" s="21">
        <v>1350</v>
      </c>
      <c r="I14" s="16">
        <f t="shared" si="1"/>
        <v>9.375E-2</v>
      </c>
      <c r="J14" s="17" t="str">
        <f t="shared" si="2"/>
        <v/>
      </c>
      <c r="K14" s="18" t="b">
        <f>FALSE()</f>
        <v>0</v>
      </c>
      <c r="L14" s="19" t="str">
        <f t="shared" si="3"/>
        <v/>
      </c>
      <c r="M14" s="19" t="b">
        <f>FALSE()</f>
        <v>0</v>
      </c>
      <c r="N14" s="17" t="str">
        <f t="shared" si="4"/>
        <v/>
      </c>
      <c r="O14" s="18" t="b">
        <f>FALSE()</f>
        <v>0</v>
      </c>
      <c r="P14" s="29">
        <f t="shared" si="5"/>
        <v>9.375E-2</v>
      </c>
      <c r="Q14" s="19" t="b">
        <f>TRUE()</f>
        <v>1</v>
      </c>
      <c r="R14" s="17" t="str">
        <f t="shared" si="6"/>
        <v/>
      </c>
      <c r="S14" s="18" t="b">
        <f>FALSE()</f>
        <v>0</v>
      </c>
      <c r="T14" s="29">
        <f t="shared" si="7"/>
        <v>9.375E-2</v>
      </c>
      <c r="U14" s="18" t="b">
        <f>TRUE()</f>
        <v>1</v>
      </c>
      <c r="V14" s="19"/>
      <c r="W14" s="18" t="b">
        <f>FALSE()</f>
        <v>0</v>
      </c>
      <c r="X14" s="19"/>
      <c r="Y14" s="18" t="b">
        <f>FALSE()</f>
        <v>0</v>
      </c>
    </row>
    <row r="15" spans="1:47" ht="14" x14ac:dyDescent="0.25">
      <c r="A15" s="10">
        <v>11</v>
      </c>
      <c r="B15" s="27" t="s">
        <v>37</v>
      </c>
      <c r="C15" s="27" t="s">
        <v>41</v>
      </c>
      <c r="D15" s="28">
        <v>46064</v>
      </c>
      <c r="E15" s="28">
        <v>46067</v>
      </c>
      <c r="F15" s="10">
        <f t="shared" si="0"/>
        <v>4</v>
      </c>
      <c r="G15" s="10">
        <v>1800</v>
      </c>
      <c r="H15" s="15"/>
      <c r="I15" s="16">
        <f t="shared" si="1"/>
        <v>0</v>
      </c>
      <c r="J15" s="30" t="str">
        <f t="shared" si="2"/>
        <v/>
      </c>
      <c r="K15" s="24" t="b">
        <f>FALSE()</f>
        <v>0</v>
      </c>
      <c r="L15" s="25">
        <f t="shared" si="3"/>
        <v>0</v>
      </c>
      <c r="M15" s="26" t="b">
        <f>TRUE()</f>
        <v>1</v>
      </c>
      <c r="N15" s="30" t="str">
        <f t="shared" si="4"/>
        <v/>
      </c>
      <c r="O15" s="24" t="b">
        <f>FALSE()</f>
        <v>0</v>
      </c>
      <c r="P15" s="26" t="str">
        <f t="shared" si="5"/>
        <v/>
      </c>
      <c r="Q15" s="26" t="b">
        <f>FALSE()</f>
        <v>0</v>
      </c>
      <c r="R15" s="23">
        <f t="shared" si="6"/>
        <v>0</v>
      </c>
      <c r="S15" s="24" t="b">
        <f>TRUE()</f>
        <v>1</v>
      </c>
      <c r="T15" s="26" t="str">
        <f t="shared" si="7"/>
        <v/>
      </c>
      <c r="U15" s="24" t="b">
        <f>FALSE()</f>
        <v>0</v>
      </c>
      <c r="V15" s="26"/>
      <c r="W15" s="24" t="b">
        <f>FALSE()</f>
        <v>0</v>
      </c>
      <c r="X15" s="26"/>
      <c r="Y15" s="24" t="b">
        <f>FALSE()</f>
        <v>0</v>
      </c>
    </row>
    <row r="16" spans="1:47" ht="14" x14ac:dyDescent="0.25">
      <c r="A16" s="10">
        <v>12</v>
      </c>
      <c r="B16" s="11" t="s">
        <v>42</v>
      </c>
      <c r="C16" s="11" t="s">
        <v>43</v>
      </c>
      <c r="D16" s="12">
        <v>46064</v>
      </c>
      <c r="E16" s="12">
        <v>46092</v>
      </c>
      <c r="F16" s="10">
        <f t="shared" si="0"/>
        <v>29</v>
      </c>
      <c r="G16" s="10">
        <v>450</v>
      </c>
      <c r="H16" s="15"/>
      <c r="I16" s="16">
        <f t="shared" si="1"/>
        <v>0</v>
      </c>
      <c r="J16" s="17" t="str">
        <f t="shared" si="2"/>
        <v/>
      </c>
      <c r="K16" s="18" t="b">
        <f>FALSE()</f>
        <v>0</v>
      </c>
      <c r="L16" s="19" t="str">
        <f t="shared" si="3"/>
        <v/>
      </c>
      <c r="M16" s="19" t="b">
        <f>FALSE()</f>
        <v>0</v>
      </c>
      <c r="N16" s="31">
        <f t="shared" si="4"/>
        <v>0</v>
      </c>
      <c r="O16" s="18" t="b">
        <f>TRUE()</f>
        <v>1</v>
      </c>
      <c r="P16" s="19" t="str">
        <f t="shared" si="5"/>
        <v/>
      </c>
      <c r="Q16" s="19" t="b">
        <f>FALSE()</f>
        <v>0</v>
      </c>
      <c r="R16" s="17" t="str">
        <f t="shared" si="6"/>
        <v/>
      </c>
      <c r="S16" s="18" t="b">
        <f>FALSE()</f>
        <v>0</v>
      </c>
      <c r="T16" s="19" t="str">
        <f t="shared" si="7"/>
        <v/>
      </c>
      <c r="U16" s="18" t="b">
        <f>FALSE()</f>
        <v>0</v>
      </c>
      <c r="V16" s="19"/>
      <c r="W16" s="18" t="b">
        <f>FALSE()</f>
        <v>0</v>
      </c>
      <c r="X16" s="19"/>
      <c r="Y16" s="18" t="b">
        <f>FALSE()</f>
        <v>0</v>
      </c>
    </row>
    <row r="17" spans="1:35" ht="14" x14ac:dyDescent="0.25">
      <c r="A17" s="10">
        <v>13</v>
      </c>
      <c r="B17" s="13" t="s">
        <v>37</v>
      </c>
      <c r="C17" s="13" t="s">
        <v>44</v>
      </c>
      <c r="D17" s="20">
        <v>46067</v>
      </c>
      <c r="E17" s="20">
        <v>46094</v>
      </c>
      <c r="F17" s="10">
        <f t="shared" si="0"/>
        <v>28</v>
      </c>
      <c r="G17" s="10">
        <v>450</v>
      </c>
      <c r="H17" s="21">
        <v>675</v>
      </c>
      <c r="I17" s="16">
        <f t="shared" si="1"/>
        <v>5.3571428571428568E-2</v>
      </c>
      <c r="J17" s="23">
        <f t="shared" si="2"/>
        <v>5.3571428571428568E-2</v>
      </c>
      <c r="K17" s="24" t="b">
        <f>TRUE()</f>
        <v>1</v>
      </c>
      <c r="L17" s="26" t="str">
        <f t="shared" si="3"/>
        <v/>
      </c>
      <c r="M17" s="26" t="b">
        <f>FALSE()</f>
        <v>0</v>
      </c>
      <c r="N17" s="30" t="str">
        <f t="shared" si="4"/>
        <v/>
      </c>
      <c r="O17" s="24" t="b">
        <f>FALSE()</f>
        <v>0</v>
      </c>
      <c r="P17" s="26" t="str">
        <f t="shared" si="5"/>
        <v/>
      </c>
      <c r="Q17" s="26" t="b">
        <f>FALSE()</f>
        <v>0</v>
      </c>
      <c r="R17" s="23">
        <f t="shared" si="6"/>
        <v>5.3571428571428568E-2</v>
      </c>
      <c r="S17" s="24" t="b">
        <f>TRUE()</f>
        <v>1</v>
      </c>
      <c r="T17" s="26" t="str">
        <f t="shared" si="7"/>
        <v/>
      </c>
      <c r="U17" s="24" t="b">
        <f>FALSE()</f>
        <v>0</v>
      </c>
      <c r="V17" s="26"/>
      <c r="W17" s="24" t="b">
        <f>FALSE()</f>
        <v>0</v>
      </c>
      <c r="X17" s="26"/>
      <c r="Y17" s="24" t="b">
        <f>FALSE()</f>
        <v>0</v>
      </c>
    </row>
    <row r="18" spans="1:35" ht="14" x14ac:dyDescent="0.25">
      <c r="A18" s="10">
        <v>14</v>
      </c>
      <c r="B18" s="11" t="s">
        <v>37</v>
      </c>
      <c r="C18" s="11" t="s">
        <v>45</v>
      </c>
      <c r="D18" s="12">
        <v>46068</v>
      </c>
      <c r="E18" s="12">
        <v>46071</v>
      </c>
      <c r="F18" s="11">
        <f t="shared" si="0"/>
        <v>4</v>
      </c>
      <c r="G18" s="10">
        <v>1800</v>
      </c>
      <c r="H18" s="21">
        <v>360</v>
      </c>
      <c r="I18" s="16">
        <f t="shared" si="1"/>
        <v>0.05</v>
      </c>
      <c r="J18" s="31">
        <f t="shared" si="2"/>
        <v>0.05</v>
      </c>
      <c r="K18" s="18" t="b">
        <f>TRUE()</f>
        <v>1</v>
      </c>
      <c r="L18" s="19" t="str">
        <f t="shared" si="3"/>
        <v/>
      </c>
      <c r="M18" s="19" t="b">
        <f>FALSE()</f>
        <v>0</v>
      </c>
      <c r="N18" s="31">
        <f t="shared" si="4"/>
        <v>0.05</v>
      </c>
      <c r="O18" s="18" t="b">
        <f>TRUE()</f>
        <v>1</v>
      </c>
      <c r="P18" s="19" t="str">
        <f t="shared" si="5"/>
        <v/>
      </c>
      <c r="Q18" s="19" t="b">
        <f>FALSE()</f>
        <v>0</v>
      </c>
      <c r="R18" s="17" t="str">
        <f t="shared" si="6"/>
        <v/>
      </c>
      <c r="S18" s="18" t="b">
        <f>FALSE()</f>
        <v>0</v>
      </c>
      <c r="T18" s="19" t="str">
        <f t="shared" si="7"/>
        <v/>
      </c>
      <c r="U18" s="18" t="b">
        <f>FALSE()</f>
        <v>0</v>
      </c>
      <c r="V18" s="19"/>
      <c r="W18" s="18" t="b">
        <f>FALSE()</f>
        <v>0</v>
      </c>
      <c r="X18" s="19"/>
      <c r="Y18" s="18" t="b">
        <f>FALSE()</f>
        <v>0</v>
      </c>
    </row>
    <row r="19" spans="1:35" ht="14" x14ac:dyDescent="0.25">
      <c r="A19" s="10">
        <v>15</v>
      </c>
      <c r="B19" s="13" t="s">
        <v>46</v>
      </c>
      <c r="C19" s="13" t="s">
        <v>20</v>
      </c>
      <c r="D19" s="20">
        <v>46068</v>
      </c>
      <c r="E19" s="20">
        <v>46095</v>
      </c>
      <c r="F19" s="13">
        <f t="shared" si="0"/>
        <v>28</v>
      </c>
      <c r="G19" s="10">
        <v>1800</v>
      </c>
      <c r="H19" s="21">
        <v>3780</v>
      </c>
      <c r="I19" s="16">
        <f t="shared" si="1"/>
        <v>7.4999999999999997E-2</v>
      </c>
      <c r="J19" s="30" t="str">
        <f t="shared" si="2"/>
        <v/>
      </c>
      <c r="K19" s="24" t="b">
        <f>FALSE()</f>
        <v>0</v>
      </c>
      <c r="L19" s="26" t="str">
        <f t="shared" si="3"/>
        <v/>
      </c>
      <c r="M19" s="26" t="b">
        <f>FALSE()</f>
        <v>0</v>
      </c>
      <c r="N19" s="30" t="str">
        <f t="shared" si="4"/>
        <v/>
      </c>
      <c r="O19" s="24" t="b">
        <f>FALSE()</f>
        <v>0</v>
      </c>
      <c r="P19" s="25">
        <f t="shared" si="5"/>
        <v>7.4999999999999997E-2</v>
      </c>
      <c r="Q19" s="26" t="b">
        <f>TRUE()</f>
        <v>1</v>
      </c>
      <c r="R19" s="23">
        <f t="shared" si="6"/>
        <v>7.4999999999999997E-2</v>
      </c>
      <c r="S19" s="24" t="b">
        <f>TRUE()</f>
        <v>1</v>
      </c>
      <c r="T19" s="26" t="str">
        <f t="shared" si="7"/>
        <v/>
      </c>
      <c r="U19" s="24" t="b">
        <f>FALSE()</f>
        <v>0</v>
      </c>
      <c r="V19" s="26"/>
      <c r="W19" s="24" t="b">
        <f>FALSE()</f>
        <v>0</v>
      </c>
      <c r="X19" s="26"/>
      <c r="Y19" s="24" t="b">
        <f>FALSE()</f>
        <v>0</v>
      </c>
    </row>
    <row r="20" spans="1:35" ht="14" x14ac:dyDescent="0.3">
      <c r="A20" s="10">
        <v>16</v>
      </c>
      <c r="B20" s="11" t="s">
        <v>47</v>
      </c>
      <c r="C20" s="11" t="s">
        <v>48</v>
      </c>
      <c r="D20" s="12">
        <v>46054</v>
      </c>
      <c r="E20" s="33">
        <v>46081</v>
      </c>
      <c r="F20" s="27">
        <f t="shared" si="0"/>
        <v>28</v>
      </c>
      <c r="G20" s="10">
        <v>1800</v>
      </c>
      <c r="H20" s="34">
        <f>2840*12</f>
        <v>34080</v>
      </c>
      <c r="I20" s="16">
        <f t="shared" si="1"/>
        <v>0.67619047619047623</v>
      </c>
      <c r="J20" s="17" t="str">
        <f t="shared" si="2"/>
        <v/>
      </c>
      <c r="K20" s="18" t="b">
        <f>FALSE()</f>
        <v>0</v>
      </c>
      <c r="L20" s="19" t="str">
        <f t="shared" si="3"/>
        <v/>
      </c>
      <c r="M20" s="19" t="b">
        <f>FALSE()</f>
        <v>0</v>
      </c>
      <c r="N20" s="17" t="str">
        <f t="shared" si="4"/>
        <v/>
      </c>
      <c r="O20" s="18" t="b">
        <f>FALSE()</f>
        <v>0</v>
      </c>
      <c r="P20" s="19" t="str">
        <f t="shared" si="5"/>
        <v/>
      </c>
      <c r="Q20" s="19" t="b">
        <f>FALSE()</f>
        <v>0</v>
      </c>
      <c r="R20" s="17" t="str">
        <f t="shared" si="6"/>
        <v/>
      </c>
      <c r="S20" s="18" t="b">
        <f>FALSE()</f>
        <v>0</v>
      </c>
      <c r="T20" s="29">
        <f t="shared" si="7"/>
        <v>0.67619047619047623</v>
      </c>
      <c r="U20" s="18" t="b">
        <f>TRUE()</f>
        <v>1</v>
      </c>
      <c r="V20" s="19"/>
      <c r="W20" s="18" t="b">
        <f>FALSE()</f>
        <v>0</v>
      </c>
      <c r="X20" s="19"/>
      <c r="Y20" s="18" t="b">
        <f>FALSE()</f>
        <v>0</v>
      </c>
    </row>
    <row r="21" spans="1:35" ht="14" x14ac:dyDescent="0.3">
      <c r="A21" s="10">
        <v>17</v>
      </c>
      <c r="B21" s="35" t="s">
        <v>49</v>
      </c>
      <c r="C21" s="35" t="s">
        <v>48</v>
      </c>
      <c r="D21" s="33">
        <v>46054</v>
      </c>
      <c r="E21" s="33">
        <v>46387</v>
      </c>
      <c r="F21" s="10">
        <f t="shared" si="0"/>
        <v>334</v>
      </c>
      <c r="G21" s="10">
        <v>750</v>
      </c>
      <c r="H21" s="21">
        <v>14850</v>
      </c>
      <c r="I21" s="16">
        <f t="shared" si="1"/>
        <v>5.9281437125748501E-2</v>
      </c>
      <c r="J21" s="30" t="str">
        <f t="shared" si="2"/>
        <v/>
      </c>
      <c r="K21" s="24" t="b">
        <f>FALSE()</f>
        <v>0</v>
      </c>
      <c r="L21" s="26" t="str">
        <f t="shared" si="3"/>
        <v/>
      </c>
      <c r="M21" s="26" t="b">
        <f>FALSE()</f>
        <v>0</v>
      </c>
      <c r="N21" s="23">
        <f t="shared" si="4"/>
        <v>5.9281437125748501E-2</v>
      </c>
      <c r="O21" s="24" t="b">
        <f>TRUE()</f>
        <v>1</v>
      </c>
      <c r="P21" s="26" t="str">
        <f t="shared" si="5"/>
        <v/>
      </c>
      <c r="Q21" s="26" t="b">
        <f>FALSE()</f>
        <v>0</v>
      </c>
      <c r="R21" s="30" t="str">
        <f t="shared" si="6"/>
        <v/>
      </c>
      <c r="S21" s="24" t="b">
        <f>FALSE()</f>
        <v>0</v>
      </c>
      <c r="T21" s="26" t="str">
        <f t="shared" si="7"/>
        <v/>
      </c>
      <c r="U21" s="24" t="b">
        <f>FALSE()</f>
        <v>0</v>
      </c>
      <c r="V21" s="26"/>
      <c r="W21" s="24" t="b">
        <f>FALSE()</f>
        <v>0</v>
      </c>
      <c r="X21" s="26"/>
      <c r="Y21" s="24" t="b">
        <f>FALSE()</f>
        <v>0</v>
      </c>
    </row>
    <row r="22" spans="1:35" ht="14" x14ac:dyDescent="0.3">
      <c r="A22" s="10">
        <v>18</v>
      </c>
      <c r="B22" s="27" t="s">
        <v>50</v>
      </c>
      <c r="C22" s="27" t="s">
        <v>48</v>
      </c>
      <c r="D22" s="28">
        <v>45992</v>
      </c>
      <c r="E22" s="33">
        <v>46356</v>
      </c>
      <c r="F22" s="11">
        <f t="shared" si="0"/>
        <v>365</v>
      </c>
      <c r="G22" s="10">
        <v>300</v>
      </c>
      <c r="H22" s="15"/>
      <c r="I22" s="16">
        <f t="shared" si="1"/>
        <v>0</v>
      </c>
      <c r="J22" s="17" t="str">
        <f t="shared" si="2"/>
        <v/>
      </c>
      <c r="K22" s="18" t="b">
        <f>FALSE()</f>
        <v>0</v>
      </c>
      <c r="L22" s="19" t="str">
        <f t="shared" si="3"/>
        <v/>
      </c>
      <c r="M22" s="19" t="b">
        <f>FALSE()</f>
        <v>0</v>
      </c>
      <c r="N22" s="17" t="str">
        <f t="shared" si="4"/>
        <v/>
      </c>
      <c r="O22" s="18" t="b">
        <f>FALSE()</f>
        <v>0</v>
      </c>
      <c r="P22" s="19" t="str">
        <f t="shared" si="5"/>
        <v/>
      </c>
      <c r="Q22" s="19" t="b">
        <f>FALSE()</f>
        <v>0</v>
      </c>
      <c r="R22" s="17" t="str">
        <f t="shared" si="6"/>
        <v/>
      </c>
      <c r="S22" s="18" t="b">
        <f>FALSE()</f>
        <v>0</v>
      </c>
      <c r="T22" s="19" t="str">
        <f t="shared" si="7"/>
        <v/>
      </c>
      <c r="U22" s="18" t="b">
        <f>FALSE()</f>
        <v>0</v>
      </c>
      <c r="V22" s="19"/>
      <c r="W22" s="18" t="b">
        <f>FALSE()</f>
        <v>0</v>
      </c>
      <c r="X22" s="19"/>
      <c r="Y22" s="18" t="b">
        <f>FALSE()</f>
        <v>0</v>
      </c>
    </row>
    <row r="23" spans="1:35" ht="14" x14ac:dyDescent="0.3">
      <c r="A23" s="10">
        <v>19</v>
      </c>
      <c r="B23" s="36" t="s">
        <v>51</v>
      </c>
      <c r="C23" s="36" t="s">
        <v>52</v>
      </c>
      <c r="D23" s="37">
        <v>46071</v>
      </c>
      <c r="E23" s="33">
        <v>46098</v>
      </c>
      <c r="F23" s="38">
        <f t="shared" si="0"/>
        <v>28</v>
      </c>
      <c r="G23" s="39">
        <v>300</v>
      </c>
      <c r="H23" s="40">
        <v>550</v>
      </c>
      <c r="I23" s="16">
        <f t="shared" si="1"/>
        <v>6.5476190476190479E-2</v>
      </c>
      <c r="J23" s="30" t="str">
        <f t="shared" si="2"/>
        <v/>
      </c>
      <c r="K23" s="24" t="b">
        <f>FALSE()</f>
        <v>0</v>
      </c>
      <c r="L23" s="26" t="str">
        <f t="shared" si="3"/>
        <v/>
      </c>
      <c r="M23" s="26" t="b">
        <f>FALSE()</f>
        <v>0</v>
      </c>
      <c r="N23" s="30" t="str">
        <f t="shared" si="4"/>
        <v/>
      </c>
      <c r="O23" s="24" t="b">
        <f>FALSE()</f>
        <v>0</v>
      </c>
      <c r="P23" s="25">
        <f t="shared" si="5"/>
        <v>6.5476190476190479E-2</v>
      </c>
      <c r="Q23" s="26" t="b">
        <f>TRUE()</f>
        <v>1</v>
      </c>
      <c r="R23" s="30" t="str">
        <f t="shared" si="6"/>
        <v/>
      </c>
      <c r="S23" s="24" t="b">
        <f>FALSE()</f>
        <v>0</v>
      </c>
      <c r="T23" s="26" t="str">
        <f t="shared" si="7"/>
        <v/>
      </c>
      <c r="U23" s="24" t="b">
        <f>FALSE()</f>
        <v>0</v>
      </c>
      <c r="V23" s="26"/>
      <c r="W23" s="24" t="b">
        <f>FALSE()</f>
        <v>0</v>
      </c>
      <c r="X23" s="26"/>
      <c r="Y23" s="24" t="b">
        <f>FALSE()</f>
        <v>0</v>
      </c>
    </row>
    <row r="24" spans="1:35" ht="14" x14ac:dyDescent="0.3">
      <c r="A24" s="10">
        <v>20</v>
      </c>
      <c r="B24" s="35" t="s">
        <v>53</v>
      </c>
      <c r="C24" s="35" t="s">
        <v>20</v>
      </c>
      <c r="D24" s="33">
        <v>46070</v>
      </c>
      <c r="E24" s="33">
        <v>46097</v>
      </c>
      <c r="F24" s="13">
        <f t="shared" si="0"/>
        <v>28</v>
      </c>
      <c r="G24" s="13">
        <v>450</v>
      </c>
      <c r="H24" s="41">
        <v>810</v>
      </c>
      <c r="I24" s="16">
        <f t="shared" si="1"/>
        <v>6.4285714285714279E-2</v>
      </c>
      <c r="J24" s="17" t="str">
        <f t="shared" si="2"/>
        <v/>
      </c>
      <c r="K24" s="18" t="b">
        <f>FALSE()</f>
        <v>0</v>
      </c>
      <c r="L24" s="19" t="str">
        <f t="shared" si="3"/>
        <v/>
      </c>
      <c r="M24" s="19" t="b">
        <f>FALSE()</f>
        <v>0</v>
      </c>
      <c r="N24" s="31">
        <f t="shared" si="4"/>
        <v>6.4285714285714279E-2</v>
      </c>
      <c r="O24" s="18" t="b">
        <f>TRUE()</f>
        <v>1</v>
      </c>
      <c r="P24" s="19" t="str">
        <f t="shared" si="5"/>
        <v/>
      </c>
      <c r="Q24" s="19" t="b">
        <f>FALSE()</f>
        <v>0</v>
      </c>
      <c r="R24" s="17" t="str">
        <f t="shared" si="6"/>
        <v/>
      </c>
      <c r="S24" s="18" t="b">
        <f>FALSE()</f>
        <v>0</v>
      </c>
      <c r="T24" s="19" t="str">
        <f t="shared" si="7"/>
        <v/>
      </c>
      <c r="U24" s="18" t="b">
        <f>FALSE()</f>
        <v>0</v>
      </c>
      <c r="V24" s="19"/>
      <c r="W24" s="18" t="b">
        <f>FALSE()</f>
        <v>0</v>
      </c>
      <c r="X24" s="19"/>
      <c r="Y24" s="18" t="b">
        <f>FALSE()</f>
        <v>0</v>
      </c>
    </row>
    <row r="25" spans="1:35" ht="14" x14ac:dyDescent="0.3">
      <c r="A25" s="10">
        <v>21</v>
      </c>
      <c r="B25" s="42" t="s">
        <v>54</v>
      </c>
      <c r="C25" s="42" t="s">
        <v>55</v>
      </c>
      <c r="D25" s="43">
        <v>46073</v>
      </c>
      <c r="E25" s="33">
        <v>46084</v>
      </c>
      <c r="F25" s="27">
        <f t="shared" si="0"/>
        <v>12</v>
      </c>
      <c r="G25" s="27">
        <v>1800</v>
      </c>
      <c r="H25" s="44">
        <v>0</v>
      </c>
      <c r="I25" s="16">
        <f t="shared" si="1"/>
        <v>0</v>
      </c>
      <c r="J25" s="31">
        <f t="shared" si="2"/>
        <v>0</v>
      </c>
      <c r="K25" s="18" t="b">
        <f>TRUE()</f>
        <v>1</v>
      </c>
      <c r="L25" s="29">
        <f t="shared" si="3"/>
        <v>0</v>
      </c>
      <c r="M25" s="19" t="b">
        <f>TRUE()</f>
        <v>1</v>
      </c>
      <c r="N25" s="31">
        <f t="shared" si="4"/>
        <v>0</v>
      </c>
      <c r="O25" s="18" t="b">
        <f>TRUE()</f>
        <v>1</v>
      </c>
      <c r="P25" s="29">
        <f t="shared" si="5"/>
        <v>0</v>
      </c>
      <c r="Q25" s="19" t="b">
        <f>TRUE()</f>
        <v>1</v>
      </c>
      <c r="R25" s="31">
        <f t="shared" si="6"/>
        <v>0</v>
      </c>
      <c r="S25" s="18" t="b">
        <f>TRUE()</f>
        <v>1</v>
      </c>
      <c r="T25" s="29">
        <f t="shared" si="7"/>
        <v>0</v>
      </c>
      <c r="U25" s="18" t="b">
        <f>TRUE()</f>
        <v>1</v>
      </c>
      <c r="V25" s="19"/>
      <c r="W25" s="18" t="b">
        <f>FALSE()</f>
        <v>0</v>
      </c>
      <c r="X25" s="19"/>
      <c r="Y25" s="18" t="b">
        <f>FALSE()</f>
        <v>0</v>
      </c>
    </row>
    <row r="26" spans="1:35" ht="14" x14ac:dyDescent="0.3">
      <c r="A26" s="10">
        <v>22</v>
      </c>
      <c r="B26" s="35" t="s">
        <v>56</v>
      </c>
      <c r="C26" s="35" t="s">
        <v>57</v>
      </c>
      <c r="D26" s="33">
        <v>46082</v>
      </c>
      <c r="E26" s="33">
        <v>46112</v>
      </c>
      <c r="F26" s="13">
        <f t="shared" si="0"/>
        <v>31</v>
      </c>
      <c r="G26" s="10">
        <v>450</v>
      </c>
      <c r="H26" s="21">
        <v>600</v>
      </c>
      <c r="I26" s="16">
        <f t="shared" si="1"/>
        <v>4.3010752688172046E-2</v>
      </c>
      <c r="J26" s="30" t="str">
        <f t="shared" si="2"/>
        <v/>
      </c>
      <c r="K26" s="24" t="b">
        <f>FALSE()</f>
        <v>0</v>
      </c>
      <c r="L26" s="26" t="str">
        <f t="shared" si="3"/>
        <v/>
      </c>
      <c r="M26" s="26" t="b">
        <f>FALSE()</f>
        <v>0</v>
      </c>
      <c r="N26" s="30" t="str">
        <f t="shared" si="4"/>
        <v/>
      </c>
      <c r="O26" s="24" t="b">
        <f>FALSE()</f>
        <v>0</v>
      </c>
      <c r="P26" s="26" t="str">
        <f t="shared" si="5"/>
        <v/>
      </c>
      <c r="Q26" s="26" t="b">
        <f>FALSE()</f>
        <v>0</v>
      </c>
      <c r="R26" s="30" t="str">
        <f t="shared" si="6"/>
        <v/>
      </c>
      <c r="S26" s="24" t="b">
        <f>FALSE()</f>
        <v>0</v>
      </c>
      <c r="T26" s="25">
        <f t="shared" si="7"/>
        <v>4.3010752688172046E-2</v>
      </c>
      <c r="U26" s="24" t="b">
        <f>TRUE()</f>
        <v>1</v>
      </c>
      <c r="V26" s="26"/>
      <c r="W26" s="24" t="b">
        <f>FALSE()</f>
        <v>0</v>
      </c>
      <c r="X26" s="26"/>
      <c r="Y26" s="24" t="b">
        <f>FALSE()</f>
        <v>0</v>
      </c>
    </row>
    <row r="27" spans="1:35" ht="14" x14ac:dyDescent="0.3">
      <c r="A27" s="10">
        <v>23</v>
      </c>
      <c r="B27" s="42" t="s">
        <v>58</v>
      </c>
      <c r="C27" s="42" t="s">
        <v>57</v>
      </c>
      <c r="D27" s="43">
        <v>46082</v>
      </c>
      <c r="E27" s="33">
        <v>46112</v>
      </c>
      <c r="F27" s="27">
        <f t="shared" si="0"/>
        <v>31</v>
      </c>
      <c r="G27" s="10">
        <v>900</v>
      </c>
      <c r="H27" s="21">
        <v>1200</v>
      </c>
      <c r="I27" s="16">
        <f t="shared" si="1"/>
        <v>4.3010752688172046E-2</v>
      </c>
      <c r="J27" s="31">
        <f t="shared" si="2"/>
        <v>4.3010752688172046E-2</v>
      </c>
      <c r="K27" s="18" t="b">
        <f>TRUE()</f>
        <v>1</v>
      </c>
      <c r="L27" s="19" t="str">
        <f t="shared" si="3"/>
        <v/>
      </c>
      <c r="M27" s="19" t="b">
        <f>FALSE()</f>
        <v>0</v>
      </c>
      <c r="N27" s="17" t="str">
        <f t="shared" si="4"/>
        <v/>
      </c>
      <c r="O27" s="18" t="b">
        <f>FALSE()</f>
        <v>0</v>
      </c>
      <c r="P27" s="29">
        <f t="shared" si="5"/>
        <v>4.3010752688172046E-2</v>
      </c>
      <c r="Q27" s="19" t="b">
        <f>TRUE()</f>
        <v>1</v>
      </c>
      <c r="R27" s="17" t="str">
        <f t="shared" si="6"/>
        <v/>
      </c>
      <c r="S27" s="18" t="b">
        <f>FALSE()</f>
        <v>0</v>
      </c>
      <c r="T27" s="19" t="str">
        <f t="shared" si="7"/>
        <v/>
      </c>
      <c r="U27" s="18" t="b">
        <f>FALSE()</f>
        <v>0</v>
      </c>
      <c r="V27" s="19"/>
      <c r="W27" s="18" t="b">
        <f>FALSE()</f>
        <v>0</v>
      </c>
      <c r="X27" s="19"/>
      <c r="Y27" s="18" t="b">
        <f>FALSE()</f>
        <v>0</v>
      </c>
    </row>
    <row r="28" spans="1:35" ht="14" x14ac:dyDescent="0.3">
      <c r="A28" s="10">
        <v>24</v>
      </c>
      <c r="B28" s="35" t="s">
        <v>59</v>
      </c>
      <c r="C28" s="35" t="s">
        <v>60</v>
      </c>
      <c r="D28" s="33">
        <v>46078</v>
      </c>
      <c r="E28" s="33">
        <v>46096</v>
      </c>
      <c r="F28" s="10">
        <f t="shared" si="0"/>
        <v>19</v>
      </c>
      <c r="G28" s="10">
        <v>450</v>
      </c>
      <c r="H28" s="21">
        <v>810</v>
      </c>
      <c r="I28" s="16">
        <f t="shared" si="1"/>
        <v>9.4736842105263161E-2</v>
      </c>
      <c r="J28" s="23">
        <f t="shared" si="2"/>
        <v>9.4736842105263161E-2</v>
      </c>
      <c r="K28" s="24" t="b">
        <f>TRUE()</f>
        <v>1</v>
      </c>
      <c r="L28" s="26" t="str">
        <f t="shared" si="3"/>
        <v/>
      </c>
      <c r="M28" s="26" t="b">
        <f>FALSE()</f>
        <v>0</v>
      </c>
      <c r="N28" s="30" t="str">
        <f t="shared" si="4"/>
        <v/>
      </c>
      <c r="O28" s="24" t="b">
        <f>FALSE()</f>
        <v>0</v>
      </c>
      <c r="P28" s="26" t="str">
        <f t="shared" si="5"/>
        <v/>
      </c>
      <c r="Q28" s="26" t="b">
        <f>FALSE()</f>
        <v>0</v>
      </c>
      <c r="R28" s="30" t="str">
        <f t="shared" si="6"/>
        <v/>
      </c>
      <c r="S28" s="24" t="b">
        <f>FALSE()</f>
        <v>0</v>
      </c>
      <c r="T28" s="26" t="str">
        <f t="shared" si="7"/>
        <v/>
      </c>
      <c r="U28" s="24" t="b">
        <f>FALSE()</f>
        <v>0</v>
      </c>
      <c r="V28" s="26"/>
      <c r="W28" s="24" t="b">
        <f>FALSE()</f>
        <v>0</v>
      </c>
      <c r="X28" s="26"/>
      <c r="Y28" s="24" t="b">
        <f>FALSE()</f>
        <v>0</v>
      </c>
    </row>
    <row r="29" spans="1:35" ht="14" x14ac:dyDescent="0.3">
      <c r="A29" s="10">
        <v>25</v>
      </c>
      <c r="B29" s="42" t="s">
        <v>61</v>
      </c>
      <c r="C29" s="42" t="s">
        <v>20</v>
      </c>
      <c r="D29" s="43">
        <v>46079</v>
      </c>
      <c r="E29" s="33">
        <v>46137</v>
      </c>
      <c r="F29" s="10">
        <f t="shared" si="0"/>
        <v>59</v>
      </c>
      <c r="G29" s="10">
        <v>300</v>
      </c>
      <c r="H29" s="21">
        <v>1760</v>
      </c>
      <c r="I29" s="16">
        <f t="shared" si="1"/>
        <v>9.9435028248587576E-2</v>
      </c>
      <c r="J29" s="17" t="str">
        <f t="shared" si="2"/>
        <v/>
      </c>
      <c r="K29" s="18" t="b">
        <f>FALSE()</f>
        <v>0</v>
      </c>
      <c r="L29" s="19" t="str">
        <f t="shared" si="3"/>
        <v/>
      </c>
      <c r="M29" s="19" t="b">
        <f>FALSE()</f>
        <v>0</v>
      </c>
      <c r="N29" s="17" t="str">
        <f t="shared" si="4"/>
        <v/>
      </c>
      <c r="O29" s="18" t="b">
        <f>FALSE()</f>
        <v>0</v>
      </c>
      <c r="P29" s="29">
        <f t="shared" si="5"/>
        <v>9.9435028248587576E-2</v>
      </c>
      <c r="Q29" s="19" t="b">
        <f>TRUE()</f>
        <v>1</v>
      </c>
      <c r="R29" s="17" t="str">
        <f t="shared" si="6"/>
        <v/>
      </c>
      <c r="S29" s="18" t="b">
        <f>FALSE()</f>
        <v>0</v>
      </c>
      <c r="T29" s="19" t="str">
        <f t="shared" si="7"/>
        <v/>
      </c>
      <c r="U29" s="18" t="b">
        <f>FALSE()</f>
        <v>0</v>
      </c>
      <c r="V29" s="19"/>
      <c r="W29" s="18" t="b">
        <f>FALSE()</f>
        <v>0</v>
      </c>
      <c r="X29" s="19"/>
      <c r="Y29" s="18" t="b">
        <f>FALSE()</f>
        <v>0</v>
      </c>
      <c r="Z29" s="45"/>
      <c r="AA29" s="45"/>
      <c r="AB29" s="45"/>
      <c r="AC29" s="45"/>
      <c r="AD29" s="45"/>
      <c r="AE29" s="45"/>
      <c r="AF29" s="45"/>
      <c r="AG29" s="45"/>
      <c r="AH29" s="45"/>
      <c r="AI29" s="45"/>
    </row>
    <row r="30" spans="1:35" ht="14" x14ac:dyDescent="0.3">
      <c r="A30" s="32">
        <v>26</v>
      </c>
      <c r="B30" s="46" t="s">
        <v>62</v>
      </c>
      <c r="C30" s="46" t="s">
        <v>63</v>
      </c>
      <c r="D30" s="47">
        <v>46080</v>
      </c>
      <c r="E30" s="33">
        <v>46101</v>
      </c>
      <c r="F30" s="48">
        <f t="shared" si="0"/>
        <v>22</v>
      </c>
      <c r="G30" s="10">
        <v>1800</v>
      </c>
      <c r="H30" s="21">
        <v>0</v>
      </c>
      <c r="I30" s="16">
        <f t="shared" si="1"/>
        <v>0</v>
      </c>
      <c r="J30" s="23">
        <f t="shared" si="2"/>
        <v>0</v>
      </c>
      <c r="K30" s="24" t="b">
        <f>TRUE()</f>
        <v>1</v>
      </c>
      <c r="L30" s="25">
        <f t="shared" si="3"/>
        <v>0</v>
      </c>
      <c r="M30" s="26" t="b">
        <f>TRUE()</f>
        <v>1</v>
      </c>
      <c r="N30" s="23">
        <f t="shared" si="4"/>
        <v>0</v>
      </c>
      <c r="O30" s="24" t="b">
        <f>TRUE()</f>
        <v>1</v>
      </c>
      <c r="P30" s="25">
        <f t="shared" si="5"/>
        <v>0</v>
      </c>
      <c r="Q30" s="26" t="b">
        <f>TRUE()</f>
        <v>1</v>
      </c>
      <c r="R30" s="30" t="str">
        <f t="shared" si="6"/>
        <v/>
      </c>
      <c r="S30" s="24" t="b">
        <f>FALSE()</f>
        <v>0</v>
      </c>
      <c r="T30" s="25">
        <f t="shared" si="7"/>
        <v>0</v>
      </c>
      <c r="U30" s="24" t="b">
        <f>TRUE()</f>
        <v>1</v>
      </c>
      <c r="V30" s="26"/>
      <c r="W30" s="24" t="b">
        <f>FALSE()</f>
        <v>0</v>
      </c>
      <c r="X30" s="26"/>
      <c r="Y30" s="24" t="b">
        <f>FALSE()</f>
        <v>0</v>
      </c>
      <c r="Z30" s="45"/>
      <c r="AA30" s="45"/>
      <c r="AB30" s="45"/>
      <c r="AC30" s="45"/>
      <c r="AD30" s="45"/>
      <c r="AE30" s="45"/>
      <c r="AF30" s="45"/>
      <c r="AG30" s="45"/>
      <c r="AH30" s="45"/>
      <c r="AI30" s="45"/>
    </row>
    <row r="31" spans="1:35" ht="14" x14ac:dyDescent="0.3">
      <c r="A31" s="10">
        <v>27</v>
      </c>
      <c r="B31" s="35" t="s">
        <v>27</v>
      </c>
      <c r="C31" s="35" t="s">
        <v>64</v>
      </c>
      <c r="D31" s="33">
        <v>46082</v>
      </c>
      <c r="E31" s="33">
        <v>46173</v>
      </c>
      <c r="F31" s="10">
        <f t="shared" si="0"/>
        <v>92</v>
      </c>
      <c r="G31" s="10">
        <v>600</v>
      </c>
      <c r="H31" s="21">
        <v>4320</v>
      </c>
      <c r="I31" s="16">
        <f t="shared" si="1"/>
        <v>7.8260869565217397E-2</v>
      </c>
      <c r="J31" s="17" t="str">
        <f t="shared" si="2"/>
        <v/>
      </c>
      <c r="K31" s="18" t="b">
        <f>FALSE()</f>
        <v>0</v>
      </c>
      <c r="L31" s="19" t="str">
        <f t="shared" si="3"/>
        <v/>
      </c>
      <c r="M31" s="19" t="b">
        <f>FALSE()</f>
        <v>0</v>
      </c>
      <c r="N31" s="17" t="str">
        <f t="shared" si="4"/>
        <v/>
      </c>
      <c r="O31" s="18" t="b">
        <f>FALSE()</f>
        <v>0</v>
      </c>
      <c r="P31" s="29">
        <f t="shared" si="5"/>
        <v>7.8260869565217397E-2</v>
      </c>
      <c r="Q31" s="19" t="b">
        <f>TRUE()</f>
        <v>1</v>
      </c>
      <c r="R31" s="17" t="str">
        <f t="shared" si="6"/>
        <v/>
      </c>
      <c r="S31" s="18" t="b">
        <f>FALSE()</f>
        <v>0</v>
      </c>
      <c r="T31" s="19" t="str">
        <f t="shared" si="7"/>
        <v/>
      </c>
      <c r="U31" s="18" t="b">
        <f>FALSE()</f>
        <v>0</v>
      </c>
      <c r="V31" s="19"/>
      <c r="W31" s="18" t="b">
        <f>FALSE()</f>
        <v>0</v>
      </c>
      <c r="X31" s="19"/>
      <c r="Y31" s="18" t="b">
        <f>FALSE()</f>
        <v>0</v>
      </c>
    </row>
    <row r="32" spans="1:35" ht="14" x14ac:dyDescent="0.3">
      <c r="A32" s="10">
        <v>28</v>
      </c>
      <c r="B32" s="42" t="s">
        <v>39</v>
      </c>
      <c r="C32" s="42" t="s">
        <v>52</v>
      </c>
      <c r="D32" s="43">
        <v>46082</v>
      </c>
      <c r="E32" s="33">
        <v>46112</v>
      </c>
      <c r="F32" s="10">
        <f t="shared" si="0"/>
        <v>31</v>
      </c>
      <c r="G32" s="10">
        <v>600</v>
      </c>
      <c r="H32" s="21">
        <v>1350</v>
      </c>
      <c r="I32" s="16">
        <f t="shared" si="1"/>
        <v>7.2580645161290328E-2</v>
      </c>
      <c r="J32" s="30" t="str">
        <f t="shared" si="2"/>
        <v/>
      </c>
      <c r="K32" s="24" t="b">
        <f>FALSE()</f>
        <v>0</v>
      </c>
      <c r="L32" s="26" t="str">
        <f t="shared" si="3"/>
        <v/>
      </c>
      <c r="M32" s="26" t="b">
        <f>FALSE()</f>
        <v>0</v>
      </c>
      <c r="N32" s="30" t="str">
        <f t="shared" si="4"/>
        <v/>
      </c>
      <c r="O32" s="24" t="b">
        <f>FALSE()</f>
        <v>0</v>
      </c>
      <c r="P32" s="25">
        <f t="shared" si="5"/>
        <v>7.2580645161290328E-2</v>
      </c>
      <c r="Q32" s="26" t="b">
        <f>TRUE()</f>
        <v>1</v>
      </c>
      <c r="R32" s="30" t="str">
        <f t="shared" si="6"/>
        <v/>
      </c>
      <c r="S32" s="24" t="b">
        <f>FALSE()</f>
        <v>0</v>
      </c>
      <c r="T32" s="25">
        <f t="shared" si="7"/>
        <v>7.2580645161290328E-2</v>
      </c>
      <c r="U32" s="24" t="b">
        <f>TRUE()</f>
        <v>1</v>
      </c>
      <c r="V32" s="26"/>
      <c r="W32" s="24" t="b">
        <f>FALSE()</f>
        <v>0</v>
      </c>
      <c r="X32" s="26"/>
      <c r="Y32" s="24" t="b">
        <f>FALSE()</f>
        <v>0</v>
      </c>
    </row>
    <row r="33" spans="1:25" ht="14" x14ac:dyDescent="0.3">
      <c r="A33" s="10">
        <v>29</v>
      </c>
      <c r="B33" s="35" t="s">
        <v>65</v>
      </c>
      <c r="C33" s="35" t="s">
        <v>20</v>
      </c>
      <c r="D33" s="33">
        <v>46087</v>
      </c>
      <c r="E33" s="33">
        <v>46117</v>
      </c>
      <c r="F33" s="10">
        <f t="shared" si="0"/>
        <v>31</v>
      </c>
      <c r="G33" s="10">
        <v>300</v>
      </c>
      <c r="H33" s="21">
        <v>720</v>
      </c>
      <c r="I33" s="16">
        <f t="shared" si="1"/>
        <v>7.7419354838709681E-2</v>
      </c>
      <c r="J33" s="17" t="str">
        <f t="shared" si="2"/>
        <v/>
      </c>
      <c r="K33" s="18" t="b">
        <f>FALSE()</f>
        <v>0</v>
      </c>
      <c r="L33" s="19" t="str">
        <f t="shared" si="3"/>
        <v/>
      </c>
      <c r="M33" s="19" t="b">
        <f>FALSE()</f>
        <v>0</v>
      </c>
      <c r="N33" s="17" t="str">
        <f t="shared" si="4"/>
        <v/>
      </c>
      <c r="O33" s="18" t="b">
        <f>FALSE()</f>
        <v>0</v>
      </c>
      <c r="P33" s="29">
        <f t="shared" si="5"/>
        <v>7.7419354838709681E-2</v>
      </c>
      <c r="Q33" s="19" t="b">
        <f>TRUE()</f>
        <v>1</v>
      </c>
      <c r="R33" s="17" t="str">
        <f t="shared" si="6"/>
        <v/>
      </c>
      <c r="S33" s="18" t="b">
        <f>FALSE()</f>
        <v>0</v>
      </c>
      <c r="T33" s="19" t="str">
        <f t="shared" si="7"/>
        <v/>
      </c>
      <c r="U33" s="18" t="b">
        <f>FALSE()</f>
        <v>0</v>
      </c>
      <c r="V33" s="19"/>
      <c r="W33" s="18" t="b">
        <f>FALSE()</f>
        <v>0</v>
      </c>
      <c r="X33" s="19"/>
      <c r="Y33" s="18" t="b">
        <f>FALSE()</f>
        <v>0</v>
      </c>
    </row>
    <row r="34" spans="1:25" ht="14" x14ac:dyDescent="0.3">
      <c r="A34" s="10">
        <v>30</v>
      </c>
      <c r="B34" s="42" t="s">
        <v>66</v>
      </c>
      <c r="C34" s="42" t="s">
        <v>67</v>
      </c>
      <c r="D34" s="43">
        <v>46082</v>
      </c>
      <c r="E34" s="33">
        <v>46112</v>
      </c>
      <c r="F34" s="10">
        <f t="shared" si="0"/>
        <v>31</v>
      </c>
      <c r="G34" s="10">
        <v>450</v>
      </c>
      <c r="H34" s="21">
        <v>500</v>
      </c>
      <c r="I34" s="16">
        <f t="shared" si="1"/>
        <v>3.5842293906810034E-2</v>
      </c>
      <c r="J34" s="30" t="str">
        <f t="shared" si="2"/>
        <v/>
      </c>
      <c r="K34" s="24" t="b">
        <f>FALSE()</f>
        <v>0</v>
      </c>
      <c r="L34" s="26" t="str">
        <f t="shared" si="3"/>
        <v/>
      </c>
      <c r="M34" s="26" t="b">
        <f>FALSE()</f>
        <v>0</v>
      </c>
      <c r="N34" s="23">
        <f t="shared" si="4"/>
        <v>3.5842293906810034E-2</v>
      </c>
      <c r="O34" s="24" t="b">
        <f>TRUE()</f>
        <v>1</v>
      </c>
      <c r="P34" s="26" t="str">
        <f t="shared" si="5"/>
        <v/>
      </c>
      <c r="Q34" s="26" t="b">
        <f>FALSE()</f>
        <v>0</v>
      </c>
      <c r="R34" s="30" t="str">
        <f t="shared" si="6"/>
        <v/>
      </c>
      <c r="S34" s="24" t="b">
        <f>FALSE()</f>
        <v>0</v>
      </c>
      <c r="T34" s="26" t="str">
        <f t="shared" si="7"/>
        <v/>
      </c>
      <c r="U34" s="24" t="b">
        <f>FALSE()</f>
        <v>0</v>
      </c>
      <c r="V34" s="26"/>
      <c r="W34" s="24" t="b">
        <f>FALSE()</f>
        <v>0</v>
      </c>
      <c r="X34" s="26"/>
      <c r="Y34" s="24" t="b">
        <f>FALSE()</f>
        <v>0</v>
      </c>
    </row>
    <row r="35" spans="1:25" ht="14" x14ac:dyDescent="0.3">
      <c r="A35" s="10">
        <v>31</v>
      </c>
      <c r="B35" s="35" t="s">
        <v>68</v>
      </c>
      <c r="C35" s="35" t="s">
        <v>43</v>
      </c>
      <c r="D35" s="33">
        <v>46086</v>
      </c>
      <c r="E35" s="33">
        <v>46116</v>
      </c>
      <c r="F35" s="10">
        <f t="shared" si="0"/>
        <v>31</v>
      </c>
      <c r="G35" s="10">
        <v>300</v>
      </c>
      <c r="H35" s="15"/>
      <c r="I35" s="16">
        <f t="shared" si="1"/>
        <v>0</v>
      </c>
      <c r="J35" s="17" t="str">
        <f t="shared" si="2"/>
        <v/>
      </c>
      <c r="K35" s="18" t="b">
        <f>FALSE()</f>
        <v>0</v>
      </c>
      <c r="L35" s="19" t="str">
        <f t="shared" si="3"/>
        <v/>
      </c>
      <c r="M35" s="19" t="b">
        <f>FALSE()</f>
        <v>0</v>
      </c>
      <c r="N35" s="31">
        <f t="shared" si="4"/>
        <v>0</v>
      </c>
      <c r="O35" s="18" t="b">
        <f>TRUE()</f>
        <v>1</v>
      </c>
      <c r="P35" s="19" t="str">
        <f t="shared" si="5"/>
        <v/>
      </c>
      <c r="Q35" s="19" t="b">
        <f>FALSE()</f>
        <v>0</v>
      </c>
      <c r="R35" s="17" t="str">
        <f t="shared" si="6"/>
        <v/>
      </c>
      <c r="S35" s="18" t="b">
        <f>FALSE()</f>
        <v>0</v>
      </c>
      <c r="T35" s="29">
        <f t="shared" si="7"/>
        <v>0</v>
      </c>
      <c r="U35" s="18" t="b">
        <f>TRUE()</f>
        <v>1</v>
      </c>
      <c r="V35" s="19"/>
      <c r="W35" s="18" t="b">
        <f>FALSE()</f>
        <v>0</v>
      </c>
      <c r="X35" s="19"/>
      <c r="Y35" s="18" t="b">
        <f>FALSE()</f>
        <v>0</v>
      </c>
    </row>
    <row r="36" spans="1:25" ht="14" x14ac:dyDescent="0.3">
      <c r="A36" s="10">
        <v>32</v>
      </c>
      <c r="B36" s="42" t="s">
        <v>37</v>
      </c>
      <c r="C36" s="42" t="s">
        <v>69</v>
      </c>
      <c r="D36" s="43">
        <v>46086</v>
      </c>
      <c r="E36" s="33">
        <v>46109</v>
      </c>
      <c r="F36" s="10">
        <f t="shared" ref="F36:F67" si="8">(E36-D36)+1</f>
        <v>24</v>
      </c>
      <c r="G36" s="32"/>
      <c r="H36" s="15"/>
      <c r="I36" s="16" t="str">
        <f t="shared" si="1"/>
        <v/>
      </c>
      <c r="J36" s="23" t="str">
        <f t="shared" si="2"/>
        <v/>
      </c>
      <c r="K36" s="24" t="b">
        <f>TRUE()</f>
        <v>1</v>
      </c>
      <c r="L36" s="26" t="str">
        <f t="shared" si="3"/>
        <v/>
      </c>
      <c r="M36" s="26" t="b">
        <f>FALSE()</f>
        <v>0</v>
      </c>
      <c r="N36" s="30" t="str">
        <f t="shared" si="4"/>
        <v/>
      </c>
      <c r="O36" s="24" t="b">
        <f>FALSE()</f>
        <v>0</v>
      </c>
      <c r="P36" s="26" t="str">
        <f t="shared" si="5"/>
        <v/>
      </c>
      <c r="Q36" s="26" t="b">
        <f>FALSE()</f>
        <v>0</v>
      </c>
      <c r="R36" s="30" t="str">
        <f t="shared" si="6"/>
        <v/>
      </c>
      <c r="S36" s="24" t="b">
        <f>FALSE()</f>
        <v>0</v>
      </c>
      <c r="T36" s="26" t="str">
        <f t="shared" si="7"/>
        <v/>
      </c>
      <c r="U36" s="24" t="b">
        <f>FALSE()</f>
        <v>0</v>
      </c>
      <c r="V36" s="26"/>
      <c r="W36" s="24" t="b">
        <f>FALSE()</f>
        <v>0</v>
      </c>
      <c r="X36" s="26"/>
      <c r="Y36" s="24" t="b">
        <f>FALSE()</f>
        <v>0</v>
      </c>
    </row>
    <row r="37" spans="1:25" ht="14" x14ac:dyDescent="0.3">
      <c r="A37" s="10">
        <v>33</v>
      </c>
      <c r="B37" s="35" t="s">
        <v>70</v>
      </c>
      <c r="C37" s="35" t="s">
        <v>71</v>
      </c>
      <c r="D37" s="33">
        <v>46087</v>
      </c>
      <c r="E37" s="33">
        <v>46117</v>
      </c>
      <c r="F37" s="10">
        <f t="shared" si="8"/>
        <v>31</v>
      </c>
      <c r="G37" s="10">
        <v>900</v>
      </c>
      <c r="H37" s="15"/>
      <c r="I37" s="16">
        <f t="shared" ref="I37:I68" si="9">IFERROR(H37/(F37*G37),"")</f>
        <v>0</v>
      </c>
      <c r="J37" s="17" t="str">
        <f t="shared" ref="J37:J68" si="10">IF(K37=TRUE(),$I37,"")</f>
        <v/>
      </c>
      <c r="K37" s="18" t="b">
        <f>FALSE()</f>
        <v>0</v>
      </c>
      <c r="L37" s="29">
        <f t="shared" ref="L37:L68" si="11">IF(M37=TRUE(),$I37,"")</f>
        <v>0</v>
      </c>
      <c r="M37" s="19" t="b">
        <f>TRUE()</f>
        <v>1</v>
      </c>
      <c r="N37" s="17" t="str">
        <f t="shared" ref="N37:N68" si="12">IF(O37=TRUE(),$I37,"")</f>
        <v/>
      </c>
      <c r="O37" s="18" t="b">
        <f>FALSE()</f>
        <v>0</v>
      </c>
      <c r="P37" s="19" t="str">
        <f t="shared" ref="P37:P68" si="13">IF(Q37=TRUE(),$I37,"")</f>
        <v/>
      </c>
      <c r="Q37" s="19" t="b">
        <f>FALSE()</f>
        <v>0</v>
      </c>
      <c r="R37" s="17" t="str">
        <f t="shared" ref="R37:R68" si="14">IF(S37=TRUE(),$I37,"")</f>
        <v/>
      </c>
      <c r="S37" s="18" t="b">
        <f>FALSE()</f>
        <v>0</v>
      </c>
      <c r="T37" s="29">
        <f t="shared" ref="T37:T68" si="15">IF(U37=TRUE(),$I37,"")</f>
        <v>0</v>
      </c>
      <c r="U37" s="18" t="b">
        <f>TRUE()</f>
        <v>1</v>
      </c>
      <c r="V37" s="19"/>
      <c r="W37" s="18" t="b">
        <f>FALSE()</f>
        <v>0</v>
      </c>
      <c r="X37" s="19"/>
      <c r="Y37" s="18" t="b">
        <f>FALSE()</f>
        <v>0</v>
      </c>
    </row>
    <row r="38" spans="1:25" ht="14" x14ac:dyDescent="0.3">
      <c r="A38" s="10">
        <v>34</v>
      </c>
      <c r="B38" s="42" t="s">
        <v>72</v>
      </c>
      <c r="C38" s="42" t="s">
        <v>73</v>
      </c>
      <c r="D38" s="43">
        <v>46082</v>
      </c>
      <c r="E38" s="33">
        <v>46112</v>
      </c>
      <c r="F38" s="10">
        <f t="shared" si="8"/>
        <v>31</v>
      </c>
      <c r="G38" s="10">
        <v>300</v>
      </c>
      <c r="H38" s="21">
        <v>550</v>
      </c>
      <c r="I38" s="16">
        <f t="shared" si="9"/>
        <v>5.9139784946236562E-2</v>
      </c>
      <c r="J38" s="23">
        <f t="shared" si="10"/>
        <v>5.9139784946236562E-2</v>
      </c>
      <c r="K38" s="24" t="b">
        <f>TRUE()</f>
        <v>1</v>
      </c>
      <c r="L38" s="26" t="str">
        <f t="shared" si="11"/>
        <v/>
      </c>
      <c r="M38" s="26" t="b">
        <f>FALSE()</f>
        <v>0</v>
      </c>
      <c r="N38" s="30" t="str">
        <f t="shared" si="12"/>
        <v/>
      </c>
      <c r="O38" s="24" t="b">
        <f>FALSE()</f>
        <v>0</v>
      </c>
      <c r="P38" s="26" t="str">
        <f t="shared" si="13"/>
        <v/>
      </c>
      <c r="Q38" s="26" t="b">
        <f>FALSE()</f>
        <v>0</v>
      </c>
      <c r="R38" s="30" t="str">
        <f t="shared" si="14"/>
        <v/>
      </c>
      <c r="S38" s="24" t="b">
        <f>FALSE()</f>
        <v>0</v>
      </c>
      <c r="T38" s="26" t="str">
        <f t="shared" si="15"/>
        <v/>
      </c>
      <c r="U38" s="24" t="b">
        <f>FALSE()</f>
        <v>0</v>
      </c>
      <c r="V38" s="26"/>
      <c r="W38" s="24" t="b">
        <f>FALSE()</f>
        <v>0</v>
      </c>
      <c r="X38" s="26"/>
      <c r="Y38" s="24" t="b">
        <f>FALSE()</f>
        <v>0</v>
      </c>
    </row>
    <row r="39" spans="1:25" ht="14" x14ac:dyDescent="0.3">
      <c r="A39" s="10">
        <v>35</v>
      </c>
      <c r="B39" s="35" t="s">
        <v>33</v>
      </c>
      <c r="C39" s="35" t="s">
        <v>34</v>
      </c>
      <c r="D39" s="33">
        <v>46082</v>
      </c>
      <c r="E39" s="33">
        <v>46112</v>
      </c>
      <c r="F39" s="10">
        <f t="shared" si="8"/>
        <v>31</v>
      </c>
      <c r="G39" s="10">
        <v>600</v>
      </c>
      <c r="H39" s="21">
        <v>1100</v>
      </c>
      <c r="I39" s="16">
        <f t="shared" si="9"/>
        <v>5.9139784946236562E-2</v>
      </c>
      <c r="J39" s="17" t="str">
        <f t="shared" si="10"/>
        <v/>
      </c>
      <c r="K39" s="18" t="b">
        <f>FALSE()</f>
        <v>0</v>
      </c>
      <c r="L39" s="19" t="str">
        <f t="shared" si="11"/>
        <v/>
      </c>
      <c r="M39" s="19" t="b">
        <f>FALSE()</f>
        <v>0</v>
      </c>
      <c r="N39" s="17" t="str">
        <f t="shared" si="12"/>
        <v/>
      </c>
      <c r="O39" s="18" t="b">
        <f>FALSE()</f>
        <v>0</v>
      </c>
      <c r="P39" s="29">
        <f t="shared" si="13"/>
        <v>5.9139784946236562E-2</v>
      </c>
      <c r="Q39" s="19" t="b">
        <f>TRUE()</f>
        <v>1</v>
      </c>
      <c r="R39" s="31">
        <f t="shared" si="14"/>
        <v>5.9139784946236562E-2</v>
      </c>
      <c r="S39" s="18" t="b">
        <f>TRUE()</f>
        <v>1</v>
      </c>
      <c r="T39" s="19" t="str">
        <f t="shared" si="15"/>
        <v/>
      </c>
      <c r="U39" s="18" t="b">
        <f>FALSE()</f>
        <v>0</v>
      </c>
      <c r="V39" s="19"/>
      <c r="W39" s="18" t="b">
        <f>FALSE()</f>
        <v>0</v>
      </c>
      <c r="X39" s="19"/>
      <c r="Y39" s="18" t="b">
        <f>FALSE()</f>
        <v>0</v>
      </c>
    </row>
    <row r="40" spans="1:25" ht="14" x14ac:dyDescent="0.3">
      <c r="A40" s="32">
        <v>36</v>
      </c>
      <c r="B40" s="35" t="s">
        <v>74</v>
      </c>
      <c r="C40" s="35" t="s">
        <v>75</v>
      </c>
      <c r="D40" s="33">
        <v>46087</v>
      </c>
      <c r="E40" s="33">
        <v>46092</v>
      </c>
      <c r="F40" s="10">
        <f t="shared" si="8"/>
        <v>6</v>
      </c>
      <c r="G40" s="32"/>
      <c r="H40" s="15"/>
      <c r="I40" s="16" t="str">
        <f t="shared" si="9"/>
        <v/>
      </c>
      <c r="J40" s="30" t="str">
        <f t="shared" si="10"/>
        <v/>
      </c>
      <c r="K40" s="24" t="b">
        <f>FALSE()</f>
        <v>0</v>
      </c>
      <c r="L40" s="26" t="str">
        <f t="shared" si="11"/>
        <v/>
      </c>
      <c r="M40" s="26" t="b">
        <f>FALSE()</f>
        <v>0</v>
      </c>
      <c r="N40" s="30" t="str">
        <f t="shared" si="12"/>
        <v/>
      </c>
      <c r="O40" s="24" t="b">
        <f>FALSE()</f>
        <v>0</v>
      </c>
      <c r="P40" s="26" t="str">
        <f t="shared" si="13"/>
        <v/>
      </c>
      <c r="Q40" s="26" t="b">
        <f>FALSE()</f>
        <v>0</v>
      </c>
      <c r="R40" s="30" t="str">
        <f t="shared" si="14"/>
        <v/>
      </c>
      <c r="S40" s="24" t="b">
        <f>FALSE()</f>
        <v>0</v>
      </c>
      <c r="T40" s="26" t="str">
        <f t="shared" si="15"/>
        <v/>
      </c>
      <c r="U40" s="24" t="b">
        <f>FALSE()</f>
        <v>0</v>
      </c>
      <c r="V40" s="26"/>
      <c r="W40" s="24" t="b">
        <f>FALSE()</f>
        <v>0</v>
      </c>
      <c r="X40" s="26"/>
      <c r="Y40" s="24" t="b">
        <f>FALSE()</f>
        <v>0</v>
      </c>
    </row>
    <row r="41" spans="1:25" ht="14" x14ac:dyDescent="0.3">
      <c r="A41" s="10">
        <v>37</v>
      </c>
      <c r="B41" s="35" t="s">
        <v>76</v>
      </c>
      <c r="C41" s="35" t="s">
        <v>57</v>
      </c>
      <c r="D41" s="33">
        <v>46086</v>
      </c>
      <c r="E41" s="33">
        <v>46116</v>
      </c>
      <c r="F41" s="10">
        <f t="shared" si="8"/>
        <v>31</v>
      </c>
      <c r="G41" s="10">
        <v>450</v>
      </c>
      <c r="H41" s="21">
        <v>810</v>
      </c>
      <c r="I41" s="16">
        <f t="shared" si="9"/>
        <v>5.8064516129032261E-2</v>
      </c>
      <c r="J41" s="17" t="str">
        <f t="shared" si="10"/>
        <v/>
      </c>
      <c r="K41" s="18" t="b">
        <f>FALSE()</f>
        <v>0</v>
      </c>
      <c r="L41" s="19" t="str">
        <f t="shared" si="11"/>
        <v/>
      </c>
      <c r="M41" s="19" t="b">
        <f>FALSE()</f>
        <v>0</v>
      </c>
      <c r="N41" s="31">
        <f t="shared" si="12"/>
        <v>5.8064516129032261E-2</v>
      </c>
      <c r="O41" s="18" t="b">
        <f>TRUE()</f>
        <v>1</v>
      </c>
      <c r="P41" s="19" t="str">
        <f t="shared" si="13"/>
        <v/>
      </c>
      <c r="Q41" s="19" t="b">
        <f>FALSE()</f>
        <v>0</v>
      </c>
      <c r="R41" s="17" t="str">
        <f t="shared" si="14"/>
        <v/>
      </c>
      <c r="S41" s="18" t="b">
        <f>FALSE()</f>
        <v>0</v>
      </c>
      <c r="T41" s="19" t="str">
        <f t="shared" si="15"/>
        <v/>
      </c>
      <c r="U41" s="18" t="b">
        <f>FALSE()</f>
        <v>0</v>
      </c>
      <c r="V41" s="19"/>
      <c r="W41" s="18" t="b">
        <f>FALSE()</f>
        <v>0</v>
      </c>
      <c r="X41" s="19"/>
      <c r="Y41" s="18" t="b">
        <f>FALSE()</f>
        <v>0</v>
      </c>
    </row>
    <row r="42" spans="1:25" ht="14" x14ac:dyDescent="0.3">
      <c r="A42" s="10">
        <v>38</v>
      </c>
      <c r="B42" s="35" t="s">
        <v>77</v>
      </c>
      <c r="C42" s="35" t="s">
        <v>78</v>
      </c>
      <c r="D42" s="33">
        <v>46091</v>
      </c>
      <c r="E42" s="33">
        <v>46094</v>
      </c>
      <c r="F42" s="10">
        <f t="shared" si="8"/>
        <v>4</v>
      </c>
      <c r="G42" s="10">
        <v>1350</v>
      </c>
      <c r="H42" s="21">
        <v>630</v>
      </c>
      <c r="I42" s="16">
        <f t="shared" si="9"/>
        <v>0.11666666666666667</v>
      </c>
      <c r="J42" s="30" t="str">
        <f t="shared" si="10"/>
        <v/>
      </c>
      <c r="K42" s="24" t="b">
        <f>FALSE()</f>
        <v>0</v>
      </c>
      <c r="L42" s="26" t="str">
        <f t="shared" si="11"/>
        <v/>
      </c>
      <c r="M42" s="26" t="b">
        <f>FALSE()</f>
        <v>0</v>
      </c>
      <c r="N42" s="23">
        <f t="shared" si="12"/>
        <v>0.11666666666666667</v>
      </c>
      <c r="O42" s="24" t="b">
        <f>TRUE()</f>
        <v>1</v>
      </c>
      <c r="P42" s="25">
        <f t="shared" si="13"/>
        <v>0.11666666666666667</v>
      </c>
      <c r="Q42" s="26" t="b">
        <f>TRUE()</f>
        <v>1</v>
      </c>
      <c r="R42" s="30" t="str">
        <f t="shared" si="14"/>
        <v/>
      </c>
      <c r="S42" s="24" t="b">
        <f>FALSE()</f>
        <v>0</v>
      </c>
      <c r="T42" s="25">
        <f t="shared" si="15"/>
        <v>0.11666666666666667</v>
      </c>
      <c r="U42" s="24" t="b">
        <f>TRUE()</f>
        <v>1</v>
      </c>
      <c r="V42" s="26"/>
      <c r="W42" s="24" t="b">
        <f>FALSE()</f>
        <v>0</v>
      </c>
      <c r="X42" s="26"/>
      <c r="Y42" s="24" t="b">
        <f>FALSE()</f>
        <v>0</v>
      </c>
    </row>
    <row r="43" spans="1:25" ht="14" x14ac:dyDescent="0.3">
      <c r="A43" s="10">
        <v>39</v>
      </c>
      <c r="B43" s="35" t="s">
        <v>37</v>
      </c>
      <c r="C43" s="35" t="s">
        <v>79</v>
      </c>
      <c r="D43" s="33">
        <v>46095</v>
      </c>
      <c r="E43" s="33">
        <v>46112</v>
      </c>
      <c r="F43" s="10">
        <f t="shared" si="8"/>
        <v>18</v>
      </c>
      <c r="G43" s="10">
        <v>450</v>
      </c>
      <c r="H43" s="21">
        <v>450</v>
      </c>
      <c r="I43" s="16">
        <f t="shared" si="9"/>
        <v>5.5555555555555552E-2</v>
      </c>
      <c r="J43" s="17" t="str">
        <f t="shared" si="10"/>
        <v/>
      </c>
      <c r="K43" s="18" t="b">
        <f>FALSE()</f>
        <v>0</v>
      </c>
      <c r="L43" s="19" t="str">
        <f t="shared" si="11"/>
        <v/>
      </c>
      <c r="M43" s="19" t="b">
        <f>FALSE()</f>
        <v>0</v>
      </c>
      <c r="N43" s="17" t="str">
        <f t="shared" si="12"/>
        <v/>
      </c>
      <c r="O43" s="18" t="b">
        <f>FALSE()</f>
        <v>0</v>
      </c>
      <c r="P43" s="19" t="str">
        <f t="shared" si="13"/>
        <v/>
      </c>
      <c r="Q43" s="19" t="b">
        <f>FALSE()</f>
        <v>0</v>
      </c>
      <c r="R43" s="31">
        <f t="shared" si="14"/>
        <v>5.5555555555555552E-2</v>
      </c>
      <c r="S43" s="18" t="b">
        <f>TRUE()</f>
        <v>1</v>
      </c>
      <c r="T43" s="19" t="str">
        <f t="shared" si="15"/>
        <v/>
      </c>
      <c r="U43" s="18" t="b">
        <f>FALSE()</f>
        <v>0</v>
      </c>
      <c r="V43" s="19"/>
      <c r="W43" s="18" t="b">
        <f>FALSE()</f>
        <v>0</v>
      </c>
      <c r="X43" s="19"/>
      <c r="Y43" s="18" t="b">
        <f>FALSE()</f>
        <v>0</v>
      </c>
    </row>
    <row r="44" spans="1:25" ht="14" x14ac:dyDescent="0.3">
      <c r="A44" s="10">
        <v>40</v>
      </c>
      <c r="B44" s="42" t="s">
        <v>51</v>
      </c>
      <c r="C44" s="42" t="s">
        <v>43</v>
      </c>
      <c r="D44" s="43">
        <v>46099</v>
      </c>
      <c r="E44" s="33">
        <v>46130</v>
      </c>
      <c r="F44" s="10">
        <f t="shared" si="8"/>
        <v>32</v>
      </c>
      <c r="G44" s="10">
        <v>300</v>
      </c>
      <c r="H44" s="21">
        <v>550</v>
      </c>
      <c r="I44" s="16">
        <f t="shared" si="9"/>
        <v>5.7291666666666664E-2</v>
      </c>
      <c r="J44" s="30" t="str">
        <f t="shared" si="10"/>
        <v/>
      </c>
      <c r="K44" s="24" t="b">
        <f>FALSE()</f>
        <v>0</v>
      </c>
      <c r="L44" s="26" t="str">
        <f t="shared" si="11"/>
        <v/>
      </c>
      <c r="M44" s="26" t="b">
        <f>FALSE()</f>
        <v>0</v>
      </c>
      <c r="N44" s="30" t="str">
        <f t="shared" si="12"/>
        <v/>
      </c>
      <c r="O44" s="24" t="b">
        <f>FALSE()</f>
        <v>0</v>
      </c>
      <c r="P44" s="25">
        <f t="shared" si="13"/>
        <v>5.7291666666666664E-2</v>
      </c>
      <c r="Q44" s="26" t="b">
        <f>TRUE()</f>
        <v>1</v>
      </c>
      <c r="R44" s="30" t="str">
        <f t="shared" si="14"/>
        <v/>
      </c>
      <c r="S44" s="24" t="b">
        <f>FALSE()</f>
        <v>0</v>
      </c>
      <c r="T44" s="26" t="str">
        <f t="shared" si="15"/>
        <v/>
      </c>
      <c r="U44" s="24" t="b">
        <f>FALSE()</f>
        <v>0</v>
      </c>
      <c r="V44" s="26"/>
      <c r="W44" s="24" t="b">
        <f>FALSE()</f>
        <v>0</v>
      </c>
      <c r="X44" s="26"/>
      <c r="Y44" s="24" t="b">
        <f>FALSE()</f>
        <v>0</v>
      </c>
    </row>
    <row r="45" spans="1:25" ht="14" x14ac:dyDescent="0.3">
      <c r="A45" s="10">
        <v>41</v>
      </c>
      <c r="B45" s="35" t="s">
        <v>46</v>
      </c>
      <c r="C45" s="35" t="s">
        <v>20</v>
      </c>
      <c r="D45" s="33">
        <v>46096</v>
      </c>
      <c r="E45" s="33">
        <v>46126</v>
      </c>
      <c r="F45" s="10">
        <f t="shared" si="8"/>
        <v>31</v>
      </c>
      <c r="G45" s="10">
        <v>900</v>
      </c>
      <c r="H45" s="21">
        <v>1890</v>
      </c>
      <c r="I45" s="16">
        <f t="shared" si="9"/>
        <v>6.7741935483870974E-2</v>
      </c>
      <c r="J45" s="17" t="str">
        <f t="shared" si="10"/>
        <v/>
      </c>
      <c r="K45" s="18" t="b">
        <f>FALSE()</f>
        <v>0</v>
      </c>
      <c r="L45" s="19" t="str">
        <f t="shared" si="11"/>
        <v/>
      </c>
      <c r="M45" s="19" t="b">
        <f>FALSE()</f>
        <v>0</v>
      </c>
      <c r="N45" s="17" t="str">
        <f t="shared" si="12"/>
        <v/>
      </c>
      <c r="O45" s="18" t="b">
        <f>FALSE()</f>
        <v>0</v>
      </c>
      <c r="P45" s="29">
        <f t="shared" si="13"/>
        <v>6.7741935483870974E-2</v>
      </c>
      <c r="Q45" s="19" t="b">
        <f>TRUE()</f>
        <v>1</v>
      </c>
      <c r="R45" s="31">
        <f t="shared" si="14"/>
        <v>6.7741935483870974E-2</v>
      </c>
      <c r="S45" s="18" t="b">
        <f>TRUE()</f>
        <v>1</v>
      </c>
      <c r="T45" s="19" t="str">
        <f t="shared" si="15"/>
        <v/>
      </c>
      <c r="U45" s="18" t="b">
        <f>FALSE()</f>
        <v>0</v>
      </c>
      <c r="V45" s="19"/>
      <c r="W45" s="18" t="b">
        <f>FALSE()</f>
        <v>0</v>
      </c>
      <c r="X45" s="19"/>
      <c r="Y45" s="18" t="b">
        <f>FALSE()</f>
        <v>0</v>
      </c>
    </row>
    <row r="46" spans="1:25" ht="14" x14ac:dyDescent="0.3">
      <c r="A46" s="10">
        <v>42</v>
      </c>
      <c r="B46" s="49" t="s">
        <v>80</v>
      </c>
      <c r="C46" s="49" t="s">
        <v>81</v>
      </c>
      <c r="D46" s="50">
        <v>46092</v>
      </c>
      <c r="E46" s="33">
        <v>46113</v>
      </c>
      <c r="F46" s="10">
        <f t="shared" si="8"/>
        <v>22</v>
      </c>
      <c r="G46" s="10">
        <v>1200</v>
      </c>
      <c r="H46" s="21">
        <v>1283.3399999999999</v>
      </c>
      <c r="I46" s="16">
        <f t="shared" si="9"/>
        <v>4.8611363636363633E-2</v>
      </c>
      <c r="J46" s="30" t="str">
        <f t="shared" si="10"/>
        <v/>
      </c>
      <c r="K46" s="24" t="b">
        <f>FALSE()</f>
        <v>0</v>
      </c>
      <c r="L46" s="26" t="str">
        <f t="shared" si="11"/>
        <v/>
      </c>
      <c r="M46" s="26" t="b">
        <f>FALSE()</f>
        <v>0</v>
      </c>
      <c r="N46" s="30" t="str">
        <f t="shared" si="12"/>
        <v/>
      </c>
      <c r="O46" s="24" t="b">
        <f>FALSE()</f>
        <v>0</v>
      </c>
      <c r="P46" s="25">
        <f t="shared" si="13"/>
        <v>4.8611363636363633E-2</v>
      </c>
      <c r="Q46" s="26" t="b">
        <f>TRUE()</f>
        <v>1</v>
      </c>
      <c r="R46" s="23">
        <f t="shared" si="14"/>
        <v>4.8611363636363633E-2</v>
      </c>
      <c r="S46" s="24" t="b">
        <f>TRUE()</f>
        <v>1</v>
      </c>
      <c r="T46" s="26" t="str">
        <f t="shared" si="15"/>
        <v/>
      </c>
      <c r="U46" s="24" t="b">
        <f>FALSE()</f>
        <v>0</v>
      </c>
      <c r="V46" s="26"/>
      <c r="W46" s="24" t="b">
        <f>FALSE()</f>
        <v>0</v>
      </c>
      <c r="X46" s="26"/>
      <c r="Y46" s="24" t="b">
        <f>FALSE()</f>
        <v>0</v>
      </c>
    </row>
    <row r="47" spans="1:25" ht="14" x14ac:dyDescent="0.3">
      <c r="A47" s="10">
        <v>43</v>
      </c>
      <c r="B47" s="42" t="s">
        <v>82</v>
      </c>
      <c r="C47" s="42" t="s">
        <v>83</v>
      </c>
      <c r="D47" s="43">
        <v>46094</v>
      </c>
      <c r="E47" s="33">
        <v>46124</v>
      </c>
      <c r="F47" s="10">
        <f t="shared" si="8"/>
        <v>31</v>
      </c>
      <c r="G47" s="10">
        <v>600</v>
      </c>
      <c r="H47" s="21">
        <v>0</v>
      </c>
      <c r="I47" s="16">
        <f t="shared" si="9"/>
        <v>0</v>
      </c>
      <c r="J47" s="17" t="str">
        <f t="shared" si="10"/>
        <v/>
      </c>
      <c r="K47" s="18" t="b">
        <f>FALSE()</f>
        <v>0</v>
      </c>
      <c r="L47" s="19" t="str">
        <f t="shared" si="11"/>
        <v/>
      </c>
      <c r="M47" s="19" t="b">
        <f>FALSE()</f>
        <v>0</v>
      </c>
      <c r="N47" s="17" t="str">
        <f t="shared" si="12"/>
        <v/>
      </c>
      <c r="O47" s="18" t="b">
        <f>FALSE()</f>
        <v>0</v>
      </c>
      <c r="P47" s="19" t="str">
        <f t="shared" si="13"/>
        <v/>
      </c>
      <c r="Q47" s="19" t="b">
        <f>FALSE()</f>
        <v>0</v>
      </c>
      <c r="R47" s="31">
        <f t="shared" si="14"/>
        <v>0</v>
      </c>
      <c r="S47" s="18" t="b">
        <f>TRUE()</f>
        <v>1</v>
      </c>
      <c r="T47" s="29">
        <f t="shared" si="15"/>
        <v>0</v>
      </c>
      <c r="U47" s="18" t="b">
        <f>TRUE()</f>
        <v>1</v>
      </c>
      <c r="V47" s="19"/>
      <c r="W47" s="18" t="b">
        <f>FALSE()</f>
        <v>0</v>
      </c>
      <c r="X47" s="19"/>
      <c r="Y47" s="18" t="b">
        <f>FALSE()</f>
        <v>0</v>
      </c>
    </row>
    <row r="48" spans="1:25" ht="14" x14ac:dyDescent="0.3">
      <c r="A48" s="10">
        <v>44</v>
      </c>
      <c r="B48" s="35" t="s">
        <v>84</v>
      </c>
      <c r="C48" s="35" t="s">
        <v>85</v>
      </c>
      <c r="D48" s="33">
        <v>46086</v>
      </c>
      <c r="E48" s="33">
        <v>46116</v>
      </c>
      <c r="F48" s="39">
        <f t="shared" si="8"/>
        <v>31</v>
      </c>
      <c r="G48" s="39">
        <v>900</v>
      </c>
      <c r="H48" s="40">
        <v>1080</v>
      </c>
      <c r="I48" s="51">
        <f t="shared" si="9"/>
        <v>3.870967741935484E-2</v>
      </c>
      <c r="J48" s="23">
        <f t="shared" si="10"/>
        <v>3.870967741935484E-2</v>
      </c>
      <c r="K48" s="24" t="b">
        <f>TRUE()</f>
        <v>1</v>
      </c>
      <c r="L48" s="26" t="str">
        <f t="shared" si="11"/>
        <v/>
      </c>
      <c r="M48" s="26" t="b">
        <f>FALSE()</f>
        <v>0</v>
      </c>
      <c r="N48" s="23">
        <f t="shared" si="12"/>
        <v>3.870967741935484E-2</v>
      </c>
      <c r="O48" s="24" t="b">
        <f>TRUE()</f>
        <v>1</v>
      </c>
      <c r="P48" s="26" t="str">
        <f t="shared" si="13"/>
        <v/>
      </c>
      <c r="Q48" s="26" t="b">
        <f>FALSE()</f>
        <v>0</v>
      </c>
      <c r="R48" s="23">
        <f t="shared" si="14"/>
        <v>3.870967741935484E-2</v>
      </c>
      <c r="S48" s="24" t="b">
        <f>TRUE()</f>
        <v>1</v>
      </c>
      <c r="T48" s="26" t="str">
        <f t="shared" si="15"/>
        <v/>
      </c>
      <c r="U48" s="24" t="b">
        <f>FALSE()</f>
        <v>0</v>
      </c>
      <c r="V48" s="26"/>
      <c r="W48" s="24" t="b">
        <f>FALSE()</f>
        <v>0</v>
      </c>
      <c r="X48" s="26"/>
      <c r="Y48" s="24" t="b">
        <f>FALSE()</f>
        <v>0</v>
      </c>
    </row>
    <row r="49" spans="1:32" ht="14" x14ac:dyDescent="0.25">
      <c r="A49" s="10">
        <v>45</v>
      </c>
      <c r="B49" s="27" t="s">
        <v>86</v>
      </c>
      <c r="C49" s="27" t="s">
        <v>87</v>
      </c>
      <c r="D49" s="28">
        <v>46097</v>
      </c>
      <c r="E49" s="28">
        <v>46127</v>
      </c>
      <c r="F49" s="13">
        <f t="shared" si="8"/>
        <v>31</v>
      </c>
      <c r="G49" s="13">
        <v>450</v>
      </c>
      <c r="H49" s="41">
        <v>900</v>
      </c>
      <c r="I49" s="52">
        <f t="shared" si="9"/>
        <v>6.4516129032258063E-2</v>
      </c>
      <c r="J49" s="17" t="str">
        <f t="shared" si="10"/>
        <v/>
      </c>
      <c r="K49" s="18" t="b">
        <f>FALSE()</f>
        <v>0</v>
      </c>
      <c r="L49" s="19" t="str">
        <f t="shared" si="11"/>
        <v/>
      </c>
      <c r="M49" s="19" t="b">
        <f>FALSE()</f>
        <v>0</v>
      </c>
      <c r="N49" s="17" t="str">
        <f t="shared" si="12"/>
        <v/>
      </c>
      <c r="O49" s="18" t="b">
        <f>FALSE()</f>
        <v>0</v>
      </c>
      <c r="P49" s="29">
        <f t="shared" si="13"/>
        <v>6.4516129032258063E-2</v>
      </c>
      <c r="Q49" s="19" t="b">
        <f>TRUE()</f>
        <v>1</v>
      </c>
      <c r="R49" s="17" t="str">
        <f t="shared" si="14"/>
        <v/>
      </c>
      <c r="S49" s="18" t="b">
        <f>FALSE()</f>
        <v>0</v>
      </c>
      <c r="T49" s="19" t="str">
        <f t="shared" si="15"/>
        <v/>
      </c>
      <c r="U49" s="18" t="b">
        <f>FALSE()</f>
        <v>0</v>
      </c>
      <c r="V49" s="19"/>
      <c r="W49" s="18" t="b">
        <f>FALSE()</f>
        <v>0</v>
      </c>
      <c r="X49" s="19"/>
      <c r="Y49" s="18" t="b">
        <f>FALSE()</f>
        <v>0</v>
      </c>
    </row>
    <row r="50" spans="1:32" ht="14" x14ac:dyDescent="0.25">
      <c r="A50" s="10">
        <v>46</v>
      </c>
      <c r="B50" s="27" t="s">
        <v>88</v>
      </c>
      <c r="C50" s="27" t="s">
        <v>89</v>
      </c>
      <c r="D50" s="28">
        <v>46097</v>
      </c>
      <c r="E50" s="28">
        <v>46112</v>
      </c>
      <c r="F50" s="13">
        <f t="shared" si="8"/>
        <v>16</v>
      </c>
      <c r="G50" s="13">
        <v>1350</v>
      </c>
      <c r="H50" s="41">
        <v>850</v>
      </c>
      <c r="I50" s="52">
        <f t="shared" si="9"/>
        <v>3.9351851851851853E-2</v>
      </c>
      <c r="J50" s="23">
        <f t="shared" si="10"/>
        <v>3.9351851851851853E-2</v>
      </c>
      <c r="K50" s="24" t="b">
        <f>TRUE()</f>
        <v>1</v>
      </c>
      <c r="L50" s="26" t="str">
        <f t="shared" si="11"/>
        <v/>
      </c>
      <c r="M50" s="26" t="b">
        <f>FALSE()</f>
        <v>0</v>
      </c>
      <c r="N50" s="30" t="str">
        <f t="shared" si="12"/>
        <v/>
      </c>
      <c r="O50" s="24" t="b">
        <f>FALSE()</f>
        <v>0</v>
      </c>
      <c r="P50" s="25">
        <f t="shared" si="13"/>
        <v>3.9351851851851853E-2</v>
      </c>
      <c r="Q50" s="26" t="b">
        <f>TRUE()</f>
        <v>1</v>
      </c>
      <c r="R50" s="23">
        <f t="shared" si="14"/>
        <v>3.9351851851851853E-2</v>
      </c>
      <c r="S50" s="24" t="b">
        <f>TRUE()</f>
        <v>1</v>
      </c>
      <c r="T50" s="26" t="str">
        <f t="shared" si="15"/>
        <v/>
      </c>
      <c r="U50" s="24" t="b">
        <f>FALSE()</f>
        <v>0</v>
      </c>
      <c r="V50" s="26"/>
      <c r="W50" s="24" t="b">
        <f>FALSE()</f>
        <v>0</v>
      </c>
      <c r="X50" s="26"/>
      <c r="Y50" s="24" t="b">
        <f>FALSE()</f>
        <v>0</v>
      </c>
    </row>
    <row r="51" spans="1:32" ht="14" x14ac:dyDescent="0.25">
      <c r="A51" s="10">
        <v>47</v>
      </c>
      <c r="B51" s="27" t="s">
        <v>90</v>
      </c>
      <c r="C51" s="27" t="s">
        <v>89</v>
      </c>
      <c r="D51" s="28">
        <v>46098</v>
      </c>
      <c r="E51" s="28">
        <v>46128</v>
      </c>
      <c r="F51" s="13">
        <f t="shared" si="8"/>
        <v>31</v>
      </c>
      <c r="G51" s="13">
        <v>900</v>
      </c>
      <c r="H51" s="41">
        <v>1620</v>
      </c>
      <c r="I51" s="52">
        <f t="shared" si="9"/>
        <v>5.8064516129032261E-2</v>
      </c>
      <c r="J51" s="17" t="str">
        <f t="shared" si="10"/>
        <v/>
      </c>
      <c r="K51" s="18" t="b">
        <f>FALSE()</f>
        <v>0</v>
      </c>
      <c r="L51" s="19" t="str">
        <f t="shared" si="11"/>
        <v/>
      </c>
      <c r="M51" s="19" t="b">
        <f>FALSE()</f>
        <v>0</v>
      </c>
      <c r="N51" s="31">
        <f t="shared" si="12"/>
        <v>5.8064516129032261E-2</v>
      </c>
      <c r="O51" s="18" t="b">
        <f>TRUE()</f>
        <v>1</v>
      </c>
      <c r="P51" s="29">
        <f t="shared" si="13"/>
        <v>5.8064516129032261E-2</v>
      </c>
      <c r="Q51" s="19" t="b">
        <f>TRUE()</f>
        <v>1</v>
      </c>
      <c r="R51" s="17" t="str">
        <f t="shared" si="14"/>
        <v/>
      </c>
      <c r="S51" s="18" t="b">
        <f>FALSE()</f>
        <v>0</v>
      </c>
      <c r="T51" s="19" t="str">
        <f t="shared" si="15"/>
        <v/>
      </c>
      <c r="U51" s="18" t="b">
        <f>FALSE()</f>
        <v>0</v>
      </c>
      <c r="V51" s="19"/>
      <c r="W51" s="18" t="b">
        <f>FALSE()</f>
        <v>0</v>
      </c>
      <c r="X51" s="19"/>
      <c r="Y51" s="18" t="b">
        <f>FALSE()</f>
        <v>0</v>
      </c>
    </row>
    <row r="52" spans="1:32" ht="14" x14ac:dyDescent="0.25">
      <c r="A52" s="10">
        <v>48</v>
      </c>
      <c r="B52" s="27" t="s">
        <v>91</v>
      </c>
      <c r="C52" s="27" t="s">
        <v>43</v>
      </c>
      <c r="D52" s="28">
        <v>46099</v>
      </c>
      <c r="E52" s="28">
        <v>46129</v>
      </c>
      <c r="F52" s="13">
        <f t="shared" si="8"/>
        <v>31</v>
      </c>
      <c r="G52" s="13">
        <v>900</v>
      </c>
      <c r="H52" s="41">
        <v>1350</v>
      </c>
      <c r="I52" s="52">
        <f t="shared" si="9"/>
        <v>4.8387096774193547E-2</v>
      </c>
      <c r="J52" s="30" t="str">
        <f t="shared" si="10"/>
        <v/>
      </c>
      <c r="K52" s="24" t="b">
        <f>FALSE()</f>
        <v>0</v>
      </c>
      <c r="L52" s="26" t="str">
        <f t="shared" si="11"/>
        <v/>
      </c>
      <c r="M52" s="26" t="b">
        <f>FALSE()</f>
        <v>0</v>
      </c>
      <c r="N52" s="23">
        <f t="shared" si="12"/>
        <v>4.8387096774193547E-2</v>
      </c>
      <c r="O52" s="24" t="b">
        <f>TRUE()</f>
        <v>1</v>
      </c>
      <c r="P52" s="26" t="str">
        <f t="shared" si="13"/>
        <v/>
      </c>
      <c r="Q52" s="26" t="b">
        <f>FALSE()</f>
        <v>0</v>
      </c>
      <c r="R52" s="30" t="str">
        <f t="shared" si="14"/>
        <v/>
      </c>
      <c r="S52" s="24" t="b">
        <f>FALSE()</f>
        <v>0</v>
      </c>
      <c r="T52" s="25">
        <f t="shared" si="15"/>
        <v>4.8387096774193547E-2</v>
      </c>
      <c r="U52" s="24" t="b">
        <f>TRUE()</f>
        <v>1</v>
      </c>
      <c r="V52" s="26"/>
      <c r="W52" s="24" t="b">
        <f>FALSE()</f>
        <v>0</v>
      </c>
      <c r="X52" s="26"/>
      <c r="Y52" s="24" t="b">
        <f>FALSE()</f>
        <v>0</v>
      </c>
    </row>
    <row r="53" spans="1:32" ht="14" x14ac:dyDescent="0.3">
      <c r="A53" s="10">
        <v>49</v>
      </c>
      <c r="B53" s="27" t="s">
        <v>37</v>
      </c>
      <c r="C53" s="27" t="s">
        <v>92</v>
      </c>
      <c r="D53" s="28">
        <v>46082</v>
      </c>
      <c r="E53" s="53">
        <v>46093</v>
      </c>
      <c r="F53" s="13">
        <f t="shared" si="8"/>
        <v>12</v>
      </c>
      <c r="G53" s="13">
        <v>450</v>
      </c>
      <c r="H53" s="41">
        <v>270</v>
      </c>
      <c r="I53" s="52">
        <f t="shared" si="9"/>
        <v>0.05</v>
      </c>
      <c r="J53" s="31">
        <f t="shared" si="10"/>
        <v>0.05</v>
      </c>
      <c r="K53" s="18" t="b">
        <f>TRUE()</f>
        <v>1</v>
      </c>
      <c r="L53" s="19" t="str">
        <f t="shared" si="11"/>
        <v/>
      </c>
      <c r="M53" s="19" t="b">
        <f>FALSE()</f>
        <v>0</v>
      </c>
      <c r="N53" s="17" t="str">
        <f t="shared" si="12"/>
        <v/>
      </c>
      <c r="O53" s="18" t="b">
        <f>FALSE()</f>
        <v>0</v>
      </c>
      <c r="P53" s="19" t="str">
        <f t="shared" si="13"/>
        <v/>
      </c>
      <c r="Q53" s="19" t="b">
        <f>FALSE()</f>
        <v>0</v>
      </c>
      <c r="R53" s="17" t="str">
        <f t="shared" si="14"/>
        <v/>
      </c>
      <c r="S53" s="18" t="b">
        <f>FALSE()</f>
        <v>0</v>
      </c>
      <c r="T53" s="19" t="str">
        <f t="shared" si="15"/>
        <v/>
      </c>
      <c r="U53" s="18" t="b">
        <f>FALSE()</f>
        <v>0</v>
      </c>
      <c r="V53" s="19"/>
      <c r="W53" s="18" t="b">
        <f>FALSE()</f>
        <v>0</v>
      </c>
      <c r="X53" s="19"/>
      <c r="Y53" s="18" t="b">
        <f>FALSE()</f>
        <v>0</v>
      </c>
      <c r="Z53" s="54"/>
      <c r="AA53" s="54"/>
      <c r="AB53" s="54"/>
      <c r="AC53" s="54"/>
      <c r="AD53" s="54"/>
      <c r="AE53" s="54"/>
      <c r="AF53" s="54"/>
    </row>
    <row r="54" spans="1:32" ht="14" x14ac:dyDescent="0.25">
      <c r="A54" s="10">
        <v>50</v>
      </c>
      <c r="B54" s="27" t="s">
        <v>93</v>
      </c>
      <c r="C54" s="27" t="s">
        <v>94</v>
      </c>
      <c r="D54" s="28">
        <v>46104</v>
      </c>
      <c r="E54" s="28">
        <v>46134</v>
      </c>
      <c r="F54" s="13">
        <f t="shared" si="8"/>
        <v>31</v>
      </c>
      <c r="G54" s="13">
        <v>300</v>
      </c>
      <c r="H54" s="41">
        <v>540</v>
      </c>
      <c r="I54" s="52">
        <f t="shared" si="9"/>
        <v>5.8064516129032261E-2</v>
      </c>
      <c r="J54" s="30" t="str">
        <f t="shared" si="10"/>
        <v/>
      </c>
      <c r="K54" s="24" t="b">
        <f>FALSE()</f>
        <v>0</v>
      </c>
      <c r="L54" s="26" t="str">
        <f t="shared" si="11"/>
        <v/>
      </c>
      <c r="M54" s="26" t="b">
        <f>FALSE()</f>
        <v>0</v>
      </c>
      <c r="N54" s="30" t="str">
        <f t="shared" si="12"/>
        <v/>
      </c>
      <c r="O54" s="24" t="b">
        <f>FALSE()</f>
        <v>0</v>
      </c>
      <c r="P54" s="25">
        <f t="shared" si="13"/>
        <v>5.8064516129032261E-2</v>
      </c>
      <c r="Q54" s="26" t="b">
        <f>TRUE()</f>
        <v>1</v>
      </c>
      <c r="R54" s="30" t="str">
        <f t="shared" si="14"/>
        <v/>
      </c>
      <c r="S54" s="24" t="b">
        <f>FALSE()</f>
        <v>0</v>
      </c>
      <c r="T54" s="26" t="str">
        <f t="shared" si="15"/>
        <v/>
      </c>
      <c r="U54" s="24" t="b">
        <f>FALSE()</f>
        <v>0</v>
      </c>
      <c r="V54" s="26"/>
      <c r="W54" s="24" t="b">
        <f>FALSE()</f>
        <v>0</v>
      </c>
      <c r="X54" s="26"/>
      <c r="Y54" s="24" t="b">
        <f>FALSE()</f>
        <v>0</v>
      </c>
    </row>
    <row r="55" spans="1:32" ht="14" x14ac:dyDescent="0.25">
      <c r="A55" s="10">
        <v>51</v>
      </c>
      <c r="B55" s="27" t="s">
        <v>93</v>
      </c>
      <c r="C55" s="27" t="s">
        <v>94</v>
      </c>
      <c r="D55" s="28">
        <v>46106</v>
      </c>
      <c r="E55" s="28">
        <v>46136</v>
      </c>
      <c r="F55" s="13">
        <f t="shared" si="8"/>
        <v>31</v>
      </c>
      <c r="G55" s="13">
        <v>300</v>
      </c>
      <c r="H55" s="41">
        <v>475</v>
      </c>
      <c r="I55" s="52">
        <f t="shared" si="9"/>
        <v>5.1075268817204304E-2</v>
      </c>
      <c r="J55" s="17" t="str">
        <f t="shared" si="10"/>
        <v/>
      </c>
      <c r="K55" s="18" t="b">
        <f>FALSE()</f>
        <v>0</v>
      </c>
      <c r="L55" s="19" t="str">
        <f t="shared" si="11"/>
        <v/>
      </c>
      <c r="M55" s="19" t="b">
        <f>FALSE()</f>
        <v>0</v>
      </c>
      <c r="N55" s="31">
        <f t="shared" si="12"/>
        <v>5.1075268817204304E-2</v>
      </c>
      <c r="O55" s="18" t="b">
        <f>TRUE()</f>
        <v>1</v>
      </c>
      <c r="P55" s="19" t="str">
        <f t="shared" si="13"/>
        <v/>
      </c>
      <c r="Q55" s="19" t="b">
        <f>FALSE()</f>
        <v>0</v>
      </c>
      <c r="R55" s="17" t="str">
        <f t="shared" si="14"/>
        <v/>
      </c>
      <c r="S55" s="18" t="b">
        <f>FALSE()</f>
        <v>0</v>
      </c>
      <c r="T55" s="19" t="str">
        <f t="shared" si="15"/>
        <v/>
      </c>
      <c r="U55" s="18" t="b">
        <f>FALSE()</f>
        <v>0</v>
      </c>
      <c r="V55" s="19"/>
      <c r="W55" s="18" t="b">
        <f>FALSE()</f>
        <v>0</v>
      </c>
      <c r="X55" s="19"/>
      <c r="Y55" s="18" t="b">
        <f>FALSE()</f>
        <v>0</v>
      </c>
    </row>
    <row r="56" spans="1:32" ht="14" x14ac:dyDescent="0.25">
      <c r="A56" s="10">
        <v>52</v>
      </c>
      <c r="B56" s="27" t="s">
        <v>95</v>
      </c>
      <c r="C56" s="27" t="s">
        <v>96</v>
      </c>
      <c r="D56" s="28">
        <v>46108</v>
      </c>
      <c r="E56" s="28">
        <v>46137</v>
      </c>
      <c r="F56" s="13">
        <f t="shared" si="8"/>
        <v>30</v>
      </c>
      <c r="G56" s="13">
        <v>600</v>
      </c>
      <c r="H56" s="41">
        <v>1170</v>
      </c>
      <c r="I56" s="52">
        <f t="shared" si="9"/>
        <v>6.5000000000000002E-2</v>
      </c>
      <c r="J56" s="30" t="str">
        <f t="shared" si="10"/>
        <v/>
      </c>
      <c r="K56" s="24" t="b">
        <f>FALSE()</f>
        <v>0</v>
      </c>
      <c r="L56" s="26" t="str">
        <f t="shared" si="11"/>
        <v/>
      </c>
      <c r="M56" s="26" t="b">
        <f>FALSE()</f>
        <v>0</v>
      </c>
      <c r="N56" s="23">
        <f t="shared" si="12"/>
        <v>6.5000000000000002E-2</v>
      </c>
      <c r="O56" s="24" t="b">
        <f>TRUE()</f>
        <v>1</v>
      </c>
      <c r="P56" s="25">
        <f t="shared" si="13"/>
        <v>6.5000000000000002E-2</v>
      </c>
      <c r="Q56" s="26" t="b">
        <f>TRUE()</f>
        <v>1</v>
      </c>
      <c r="R56" s="30" t="str">
        <f t="shared" si="14"/>
        <v/>
      </c>
      <c r="S56" s="24" t="b">
        <f>FALSE()</f>
        <v>0</v>
      </c>
      <c r="T56" s="26" t="str">
        <f t="shared" si="15"/>
        <v/>
      </c>
      <c r="U56" s="24" t="b">
        <f>FALSE()</f>
        <v>0</v>
      </c>
      <c r="V56" s="26"/>
      <c r="W56" s="24" t="b">
        <f>FALSE()</f>
        <v>0</v>
      </c>
      <c r="X56" s="26"/>
      <c r="Y56" s="24" t="b">
        <f>FALSE()</f>
        <v>0</v>
      </c>
    </row>
    <row r="57" spans="1:32" ht="14" x14ac:dyDescent="0.3">
      <c r="A57" s="10">
        <v>53</v>
      </c>
      <c r="B57" s="27" t="s">
        <v>62</v>
      </c>
      <c r="C57" s="27" t="s">
        <v>97</v>
      </c>
      <c r="D57" s="28">
        <v>46107</v>
      </c>
      <c r="E57" s="28">
        <v>46115</v>
      </c>
      <c r="F57" s="13">
        <f t="shared" si="8"/>
        <v>9</v>
      </c>
      <c r="G57" s="13">
        <v>1800</v>
      </c>
      <c r="H57" s="41">
        <v>0</v>
      </c>
      <c r="I57" s="52">
        <f t="shared" si="9"/>
        <v>0</v>
      </c>
      <c r="J57" s="31">
        <f t="shared" si="10"/>
        <v>0</v>
      </c>
      <c r="K57" s="18" t="b">
        <f>TRUE()</f>
        <v>1</v>
      </c>
      <c r="L57" s="29">
        <f t="shared" si="11"/>
        <v>0</v>
      </c>
      <c r="M57" s="19" t="b">
        <f>TRUE()</f>
        <v>1</v>
      </c>
      <c r="N57" s="31">
        <f t="shared" si="12"/>
        <v>0</v>
      </c>
      <c r="O57" s="18" t="b">
        <f>TRUE()</f>
        <v>1</v>
      </c>
      <c r="P57" s="29">
        <f t="shared" si="13"/>
        <v>0</v>
      </c>
      <c r="Q57" s="19" t="b">
        <f>TRUE()</f>
        <v>1</v>
      </c>
      <c r="R57" s="31">
        <f t="shared" si="14"/>
        <v>0</v>
      </c>
      <c r="S57" s="18" t="b">
        <f>TRUE()</f>
        <v>1</v>
      </c>
      <c r="T57" s="29">
        <f t="shared" si="15"/>
        <v>0</v>
      </c>
      <c r="U57" s="18" t="b">
        <f>TRUE()</f>
        <v>1</v>
      </c>
      <c r="V57" s="19"/>
      <c r="W57" s="18" t="b">
        <f>FALSE()</f>
        <v>0</v>
      </c>
      <c r="X57" s="19"/>
      <c r="Y57" s="18" t="b">
        <f>FALSE()</f>
        <v>0</v>
      </c>
      <c r="Z57" s="54"/>
      <c r="AA57" s="54"/>
      <c r="AB57" s="54"/>
      <c r="AC57" s="54"/>
      <c r="AD57" s="54"/>
      <c r="AE57" s="54"/>
      <c r="AF57" s="54"/>
    </row>
    <row r="58" spans="1:32" ht="14" x14ac:dyDescent="0.25">
      <c r="A58" s="10">
        <v>54</v>
      </c>
      <c r="B58" s="27" t="s">
        <v>46</v>
      </c>
      <c r="C58" s="27" t="s">
        <v>57</v>
      </c>
      <c r="D58" s="28">
        <v>46128</v>
      </c>
      <c r="E58" s="28">
        <v>46157</v>
      </c>
      <c r="F58" s="13">
        <f t="shared" si="8"/>
        <v>30</v>
      </c>
      <c r="G58" s="13">
        <v>900</v>
      </c>
      <c r="H58" s="41">
        <v>1890</v>
      </c>
      <c r="I58" s="52">
        <f t="shared" si="9"/>
        <v>7.0000000000000007E-2</v>
      </c>
      <c r="J58" s="30" t="str">
        <f t="shared" si="10"/>
        <v/>
      </c>
      <c r="K58" s="24" t="b">
        <f>FALSE()</f>
        <v>0</v>
      </c>
      <c r="L58" s="26" t="str">
        <f t="shared" si="11"/>
        <v/>
      </c>
      <c r="M58" s="26" t="b">
        <f>FALSE()</f>
        <v>0</v>
      </c>
      <c r="N58" s="30" t="str">
        <f t="shared" si="12"/>
        <v/>
      </c>
      <c r="O58" s="24" t="b">
        <f>FALSE()</f>
        <v>0</v>
      </c>
      <c r="P58" s="25">
        <f t="shared" si="13"/>
        <v>7.0000000000000007E-2</v>
      </c>
      <c r="Q58" s="26" t="b">
        <f>TRUE()</f>
        <v>1</v>
      </c>
      <c r="R58" s="23">
        <f t="shared" si="14"/>
        <v>7.0000000000000007E-2</v>
      </c>
      <c r="S58" s="24" t="b">
        <f>TRUE()</f>
        <v>1</v>
      </c>
      <c r="T58" s="26" t="str">
        <f t="shared" si="15"/>
        <v/>
      </c>
      <c r="U58" s="24" t="b">
        <f>FALSE()</f>
        <v>0</v>
      </c>
      <c r="V58" s="26"/>
      <c r="W58" s="24" t="b">
        <f>FALSE()</f>
        <v>0</v>
      </c>
      <c r="X58" s="26"/>
      <c r="Y58" s="24" t="b">
        <f>FALSE()</f>
        <v>0</v>
      </c>
    </row>
    <row r="59" spans="1:32" ht="14" x14ac:dyDescent="0.25">
      <c r="A59" s="10">
        <v>55</v>
      </c>
      <c r="B59" s="27" t="s">
        <v>33</v>
      </c>
      <c r="C59" s="27"/>
      <c r="D59" s="28">
        <v>46113</v>
      </c>
      <c r="E59" s="28">
        <v>46142</v>
      </c>
      <c r="F59" s="13">
        <f t="shared" si="8"/>
        <v>30</v>
      </c>
      <c r="G59" s="13">
        <v>600</v>
      </c>
      <c r="H59" s="41">
        <v>1100</v>
      </c>
      <c r="I59" s="52">
        <f t="shared" si="9"/>
        <v>6.1111111111111109E-2</v>
      </c>
      <c r="J59" s="17" t="str">
        <f t="shared" si="10"/>
        <v/>
      </c>
      <c r="K59" s="18" t="b">
        <f>FALSE()</f>
        <v>0</v>
      </c>
      <c r="L59" s="19" t="str">
        <f t="shared" si="11"/>
        <v/>
      </c>
      <c r="M59" s="19" t="b">
        <f>FALSE()</f>
        <v>0</v>
      </c>
      <c r="N59" s="17" t="str">
        <f t="shared" si="12"/>
        <v/>
      </c>
      <c r="O59" s="18" t="b">
        <f>FALSE()</f>
        <v>0</v>
      </c>
      <c r="P59" s="29">
        <f t="shared" si="13"/>
        <v>6.1111111111111109E-2</v>
      </c>
      <c r="Q59" s="19" t="b">
        <f>TRUE()</f>
        <v>1</v>
      </c>
      <c r="R59" s="31">
        <f t="shared" si="14"/>
        <v>6.1111111111111109E-2</v>
      </c>
      <c r="S59" s="18" t="b">
        <f>TRUE()</f>
        <v>1</v>
      </c>
      <c r="T59" s="19" t="str">
        <f t="shared" si="15"/>
        <v/>
      </c>
      <c r="U59" s="18" t="b">
        <f>FALSE()</f>
        <v>0</v>
      </c>
      <c r="V59" s="19"/>
      <c r="W59" s="18" t="b">
        <f>FALSE()</f>
        <v>0</v>
      </c>
      <c r="X59" s="19"/>
      <c r="Y59" s="18" t="b">
        <f>FALSE()</f>
        <v>0</v>
      </c>
    </row>
    <row r="60" spans="1:32" ht="14" x14ac:dyDescent="0.25">
      <c r="A60" s="10">
        <v>56</v>
      </c>
      <c r="B60" s="27" t="s">
        <v>72</v>
      </c>
      <c r="C60" s="27"/>
      <c r="D60" s="28">
        <v>46113</v>
      </c>
      <c r="E60" s="28">
        <v>46142</v>
      </c>
      <c r="F60" s="13">
        <f t="shared" si="8"/>
        <v>30</v>
      </c>
      <c r="G60" s="13">
        <v>300</v>
      </c>
      <c r="H60" s="41">
        <v>550</v>
      </c>
      <c r="I60" s="52">
        <f t="shared" si="9"/>
        <v>6.1111111111111109E-2</v>
      </c>
      <c r="J60" s="23">
        <f t="shared" si="10"/>
        <v>6.1111111111111109E-2</v>
      </c>
      <c r="K60" s="24" t="b">
        <f>TRUE()</f>
        <v>1</v>
      </c>
      <c r="L60" s="26" t="str">
        <f t="shared" si="11"/>
        <v/>
      </c>
      <c r="M60" s="26" t="b">
        <f>FALSE()</f>
        <v>0</v>
      </c>
      <c r="N60" s="30" t="str">
        <f t="shared" si="12"/>
        <v/>
      </c>
      <c r="O60" s="24" t="b">
        <f>FALSE()</f>
        <v>0</v>
      </c>
      <c r="P60" s="26" t="str">
        <f t="shared" si="13"/>
        <v/>
      </c>
      <c r="Q60" s="26" t="b">
        <f>FALSE()</f>
        <v>0</v>
      </c>
      <c r="R60" s="30" t="str">
        <f t="shared" si="14"/>
        <v/>
      </c>
      <c r="S60" s="24" t="b">
        <f>FALSE()</f>
        <v>0</v>
      </c>
      <c r="T60" s="26" t="str">
        <f t="shared" si="15"/>
        <v/>
      </c>
      <c r="U60" s="24" t="b">
        <f>FALSE()</f>
        <v>0</v>
      </c>
      <c r="V60" s="26"/>
      <c r="W60" s="24" t="b">
        <f>FALSE()</f>
        <v>0</v>
      </c>
      <c r="X60" s="26"/>
      <c r="Y60" s="24" t="b">
        <f>FALSE()</f>
        <v>0</v>
      </c>
    </row>
    <row r="61" spans="1:32" ht="14" x14ac:dyDescent="0.25">
      <c r="A61" s="10">
        <v>57</v>
      </c>
      <c r="B61" s="27" t="s">
        <v>98</v>
      </c>
      <c r="C61" s="27"/>
      <c r="D61" s="28">
        <v>46108</v>
      </c>
      <c r="E61" s="28">
        <v>46127</v>
      </c>
      <c r="F61" s="13">
        <f t="shared" si="8"/>
        <v>20</v>
      </c>
      <c r="G61" s="13">
        <v>900</v>
      </c>
      <c r="H61" s="41">
        <v>750</v>
      </c>
      <c r="I61" s="52">
        <f t="shared" si="9"/>
        <v>4.1666666666666664E-2</v>
      </c>
      <c r="J61" s="17" t="str">
        <f t="shared" si="10"/>
        <v/>
      </c>
      <c r="K61" s="18" t="b">
        <f>FALSE()</f>
        <v>0</v>
      </c>
      <c r="L61" s="29">
        <f t="shared" si="11"/>
        <v>4.1666666666666664E-2</v>
      </c>
      <c r="M61" s="19" t="b">
        <f>TRUE()</f>
        <v>1</v>
      </c>
      <c r="N61" s="17" t="str">
        <f t="shared" si="12"/>
        <v/>
      </c>
      <c r="O61" s="18" t="b">
        <f>FALSE()</f>
        <v>0</v>
      </c>
      <c r="P61" s="29">
        <f t="shared" si="13"/>
        <v>4.1666666666666664E-2</v>
      </c>
      <c r="Q61" s="19" t="b">
        <f>TRUE()</f>
        <v>1</v>
      </c>
      <c r="R61" s="17" t="str">
        <f t="shared" si="14"/>
        <v/>
      </c>
      <c r="S61" s="18" t="b">
        <f>FALSE()</f>
        <v>0</v>
      </c>
      <c r="T61" s="19" t="str">
        <f t="shared" si="15"/>
        <v/>
      </c>
      <c r="U61" s="18" t="b">
        <f>FALSE()</f>
        <v>0</v>
      </c>
      <c r="V61" s="19"/>
      <c r="W61" s="18" t="b">
        <f>FALSE()</f>
        <v>0</v>
      </c>
      <c r="X61" s="19"/>
      <c r="Y61" s="18" t="b">
        <f>FALSE()</f>
        <v>0</v>
      </c>
    </row>
    <row r="62" spans="1:32" ht="14" x14ac:dyDescent="0.25">
      <c r="A62" s="10">
        <v>58</v>
      </c>
      <c r="B62" s="27" t="s">
        <v>99</v>
      </c>
      <c r="C62" s="27" t="s">
        <v>100</v>
      </c>
      <c r="D62" s="53">
        <v>46108</v>
      </c>
      <c r="E62" s="28">
        <v>46119</v>
      </c>
      <c r="F62" s="13">
        <f t="shared" si="8"/>
        <v>12</v>
      </c>
      <c r="G62" s="13">
        <v>900</v>
      </c>
      <c r="H62" s="41">
        <v>648</v>
      </c>
      <c r="I62" s="52">
        <f t="shared" si="9"/>
        <v>0.06</v>
      </c>
      <c r="J62" s="30" t="str">
        <f t="shared" si="10"/>
        <v/>
      </c>
      <c r="K62" s="24" t="b">
        <f>FALSE()</f>
        <v>0</v>
      </c>
      <c r="L62" s="26" t="str">
        <f t="shared" si="11"/>
        <v/>
      </c>
      <c r="M62" s="26" t="b">
        <f>FALSE()</f>
        <v>0</v>
      </c>
      <c r="N62" s="30" t="str">
        <f t="shared" si="12"/>
        <v/>
      </c>
      <c r="O62" s="24" t="b">
        <f>FALSE()</f>
        <v>0</v>
      </c>
      <c r="P62" s="25">
        <f t="shared" si="13"/>
        <v>0.06</v>
      </c>
      <c r="Q62" s="26" t="b">
        <f>TRUE()</f>
        <v>1</v>
      </c>
      <c r="R62" s="23">
        <f t="shared" si="14"/>
        <v>0.06</v>
      </c>
      <c r="S62" s="24" t="b">
        <f>TRUE()</f>
        <v>1</v>
      </c>
      <c r="T62" s="26" t="str">
        <f t="shared" si="15"/>
        <v/>
      </c>
      <c r="U62" s="24" t="b">
        <f>FALSE()</f>
        <v>0</v>
      </c>
      <c r="V62" s="26"/>
      <c r="W62" s="24" t="b">
        <f>FALSE()</f>
        <v>0</v>
      </c>
      <c r="X62" s="26"/>
      <c r="Y62" s="24" t="b">
        <f>FALSE()</f>
        <v>0</v>
      </c>
    </row>
    <row r="63" spans="1:32" ht="14" x14ac:dyDescent="0.25">
      <c r="A63" s="10">
        <v>59</v>
      </c>
      <c r="B63" s="27" t="s">
        <v>101</v>
      </c>
      <c r="C63" s="27" t="s">
        <v>102</v>
      </c>
      <c r="D63" s="28">
        <v>46109</v>
      </c>
      <c r="E63" s="28">
        <v>46139</v>
      </c>
      <c r="F63" s="13">
        <f t="shared" si="8"/>
        <v>31</v>
      </c>
      <c r="G63" s="13">
        <v>450</v>
      </c>
      <c r="H63" s="41">
        <v>750</v>
      </c>
      <c r="I63" s="52">
        <f t="shared" si="9"/>
        <v>5.3763440860215055E-2</v>
      </c>
      <c r="J63" s="31">
        <f t="shared" si="10"/>
        <v>5.3763440860215055E-2</v>
      </c>
      <c r="K63" s="18" t="b">
        <f>TRUE()</f>
        <v>1</v>
      </c>
      <c r="L63" s="19" t="str">
        <f t="shared" si="11"/>
        <v/>
      </c>
      <c r="M63" s="19" t="b">
        <f>FALSE()</f>
        <v>0</v>
      </c>
      <c r="N63" s="17" t="str">
        <f t="shared" si="12"/>
        <v/>
      </c>
      <c r="O63" s="18" t="b">
        <f>FALSE()</f>
        <v>0</v>
      </c>
      <c r="P63" s="19" t="str">
        <f t="shared" si="13"/>
        <v/>
      </c>
      <c r="Q63" s="19" t="b">
        <f>FALSE()</f>
        <v>0</v>
      </c>
      <c r="R63" s="17" t="str">
        <f t="shared" si="14"/>
        <v/>
      </c>
      <c r="S63" s="18" t="b">
        <f>FALSE()</f>
        <v>0</v>
      </c>
      <c r="T63" s="19" t="str">
        <f t="shared" si="15"/>
        <v/>
      </c>
      <c r="U63" s="18" t="b">
        <f>FALSE()</f>
        <v>0</v>
      </c>
      <c r="V63" s="19"/>
      <c r="W63" s="18" t="b">
        <f>FALSE()</f>
        <v>0</v>
      </c>
      <c r="X63" s="19"/>
      <c r="Y63" s="18" t="b">
        <f>FALSE()</f>
        <v>0</v>
      </c>
    </row>
    <row r="64" spans="1:32" ht="14" x14ac:dyDescent="0.25">
      <c r="A64" s="10">
        <v>60</v>
      </c>
      <c r="B64" s="27" t="s">
        <v>103</v>
      </c>
      <c r="C64" s="27"/>
      <c r="D64" s="28">
        <v>46109</v>
      </c>
      <c r="E64" s="28">
        <v>46117</v>
      </c>
      <c r="F64" s="13">
        <f t="shared" si="8"/>
        <v>9</v>
      </c>
      <c r="G64" s="13">
        <v>900</v>
      </c>
      <c r="H64" s="41">
        <v>508.5</v>
      </c>
      <c r="I64" s="52">
        <f t="shared" si="9"/>
        <v>6.277777777777778E-2</v>
      </c>
      <c r="J64" s="23">
        <f t="shared" si="10"/>
        <v>6.277777777777778E-2</v>
      </c>
      <c r="K64" s="24" t="b">
        <f>TRUE()</f>
        <v>1</v>
      </c>
      <c r="L64" s="26" t="str">
        <f t="shared" si="11"/>
        <v/>
      </c>
      <c r="M64" s="26" t="b">
        <f>FALSE()</f>
        <v>0</v>
      </c>
      <c r="N64" s="30" t="str">
        <f t="shared" si="12"/>
        <v/>
      </c>
      <c r="O64" s="24" t="b">
        <f>FALSE()</f>
        <v>0</v>
      </c>
      <c r="P64" s="25">
        <f t="shared" si="13"/>
        <v>6.277777777777778E-2</v>
      </c>
      <c r="Q64" s="26" t="b">
        <f>TRUE()</f>
        <v>1</v>
      </c>
      <c r="R64" s="23">
        <f t="shared" si="14"/>
        <v>6.277777777777778E-2</v>
      </c>
      <c r="S64" s="24" t="b">
        <f>TRUE()</f>
        <v>1</v>
      </c>
      <c r="T64" s="26" t="str">
        <f t="shared" si="15"/>
        <v/>
      </c>
      <c r="U64" s="24" t="b">
        <f>FALSE()</f>
        <v>0</v>
      </c>
      <c r="V64" s="26"/>
      <c r="W64" s="24" t="b">
        <f>FALSE()</f>
        <v>0</v>
      </c>
      <c r="X64" s="26"/>
      <c r="Y64" s="24" t="b">
        <f>FALSE()</f>
        <v>0</v>
      </c>
    </row>
    <row r="65" spans="1:32" ht="14" x14ac:dyDescent="0.25">
      <c r="A65" s="10">
        <v>61</v>
      </c>
      <c r="B65" s="27" t="s">
        <v>104</v>
      </c>
      <c r="C65" s="27"/>
      <c r="D65" s="28">
        <v>46113</v>
      </c>
      <c r="E65" s="28">
        <v>46142</v>
      </c>
      <c r="F65" s="13">
        <f t="shared" si="8"/>
        <v>30</v>
      </c>
      <c r="G65" s="13">
        <v>300</v>
      </c>
      <c r="H65" s="41">
        <v>725</v>
      </c>
      <c r="I65" s="52">
        <f t="shared" si="9"/>
        <v>8.0555555555555561E-2</v>
      </c>
      <c r="J65" s="17" t="str">
        <f t="shared" si="10"/>
        <v/>
      </c>
      <c r="K65" s="18" t="b">
        <f>FALSE()</f>
        <v>0</v>
      </c>
      <c r="L65" s="19" t="str">
        <f t="shared" si="11"/>
        <v/>
      </c>
      <c r="M65" s="19" t="b">
        <f>FALSE()</f>
        <v>0</v>
      </c>
      <c r="N65" s="17" t="str">
        <f t="shared" si="12"/>
        <v/>
      </c>
      <c r="O65" s="18" t="b">
        <f>FALSE()</f>
        <v>0</v>
      </c>
      <c r="P65" s="29">
        <f t="shared" si="13"/>
        <v>8.0555555555555561E-2</v>
      </c>
      <c r="Q65" s="19" t="b">
        <f>TRUE()</f>
        <v>1</v>
      </c>
      <c r="R65" s="17" t="str">
        <f t="shared" si="14"/>
        <v/>
      </c>
      <c r="S65" s="18" t="b">
        <f>FALSE()</f>
        <v>0</v>
      </c>
      <c r="T65" s="19" t="str">
        <f t="shared" si="15"/>
        <v/>
      </c>
      <c r="U65" s="18" t="b">
        <f>FALSE()</f>
        <v>0</v>
      </c>
      <c r="V65" s="19"/>
      <c r="W65" s="18" t="b">
        <f>FALSE()</f>
        <v>0</v>
      </c>
      <c r="X65" s="19"/>
      <c r="Y65" s="18" t="b">
        <f>FALSE()</f>
        <v>0</v>
      </c>
    </row>
    <row r="66" spans="1:32" ht="14" x14ac:dyDescent="0.25">
      <c r="A66" s="10">
        <v>62</v>
      </c>
      <c r="B66" s="27" t="s">
        <v>39</v>
      </c>
      <c r="C66" s="27"/>
      <c r="D66" s="28">
        <v>46113</v>
      </c>
      <c r="E66" s="28">
        <v>46142</v>
      </c>
      <c r="F66" s="13">
        <f t="shared" si="8"/>
        <v>30</v>
      </c>
      <c r="G66" s="13">
        <v>300</v>
      </c>
      <c r="H66" s="41">
        <v>720</v>
      </c>
      <c r="I66" s="52">
        <f t="shared" si="9"/>
        <v>0.08</v>
      </c>
      <c r="J66" s="30" t="str">
        <f t="shared" si="10"/>
        <v/>
      </c>
      <c r="K66" s="24" t="b">
        <f>FALSE()</f>
        <v>0</v>
      </c>
      <c r="L66" s="26" t="str">
        <f t="shared" si="11"/>
        <v/>
      </c>
      <c r="M66" s="26" t="b">
        <f>FALSE()</f>
        <v>0</v>
      </c>
      <c r="N66" s="30" t="str">
        <f t="shared" si="12"/>
        <v/>
      </c>
      <c r="O66" s="24" t="b">
        <f>FALSE()</f>
        <v>0</v>
      </c>
      <c r="P66" s="25">
        <f t="shared" si="13"/>
        <v>0.08</v>
      </c>
      <c r="Q66" s="26" t="b">
        <f>TRUE()</f>
        <v>1</v>
      </c>
      <c r="R66" s="30" t="str">
        <f t="shared" si="14"/>
        <v/>
      </c>
      <c r="S66" s="24" t="b">
        <f>FALSE()</f>
        <v>0</v>
      </c>
      <c r="T66" s="26" t="str">
        <f t="shared" si="15"/>
        <v/>
      </c>
      <c r="U66" s="24" t="b">
        <f>FALSE()</f>
        <v>0</v>
      </c>
      <c r="V66" s="26"/>
      <c r="W66" s="24" t="b">
        <f>FALSE()</f>
        <v>0</v>
      </c>
      <c r="X66" s="26"/>
      <c r="Y66" s="24" t="b">
        <f>FALSE()</f>
        <v>0</v>
      </c>
    </row>
    <row r="67" spans="1:32" ht="14" x14ac:dyDescent="0.25">
      <c r="A67" s="10">
        <v>63</v>
      </c>
      <c r="B67" s="27" t="s">
        <v>105</v>
      </c>
      <c r="C67" s="27"/>
      <c r="D67" s="28">
        <v>46113</v>
      </c>
      <c r="E67" s="28">
        <v>46142</v>
      </c>
      <c r="F67" s="13">
        <f t="shared" si="8"/>
        <v>30</v>
      </c>
      <c r="G67" s="13">
        <v>1350</v>
      </c>
      <c r="H67" s="41">
        <v>1864.5</v>
      </c>
      <c r="I67" s="52">
        <f t="shared" si="9"/>
        <v>4.6037037037037036E-2</v>
      </c>
      <c r="J67" s="31">
        <f t="shared" si="10"/>
        <v>4.6037037037037036E-2</v>
      </c>
      <c r="K67" s="18" t="b">
        <f>TRUE()</f>
        <v>1</v>
      </c>
      <c r="L67" s="19" t="str">
        <f t="shared" si="11"/>
        <v/>
      </c>
      <c r="M67" s="19" t="b">
        <f>FALSE()</f>
        <v>0</v>
      </c>
      <c r="N67" s="17" t="str">
        <f t="shared" si="12"/>
        <v/>
      </c>
      <c r="O67" s="18" t="b">
        <f>FALSE()</f>
        <v>0</v>
      </c>
      <c r="P67" s="29">
        <f t="shared" si="13"/>
        <v>4.6037037037037036E-2</v>
      </c>
      <c r="Q67" s="19" t="b">
        <f>TRUE()</f>
        <v>1</v>
      </c>
      <c r="R67" s="17" t="str">
        <f t="shared" si="14"/>
        <v/>
      </c>
      <c r="S67" s="18" t="b">
        <f>FALSE()</f>
        <v>0</v>
      </c>
      <c r="T67" s="19" t="str">
        <f t="shared" si="15"/>
        <v/>
      </c>
      <c r="U67" s="18" t="b">
        <f>FALSE()</f>
        <v>0</v>
      </c>
      <c r="V67" s="19"/>
      <c r="W67" s="18" t="b">
        <f>FALSE()</f>
        <v>0</v>
      </c>
      <c r="X67" s="19"/>
      <c r="Y67" s="18" t="b">
        <f>FALSE()</f>
        <v>0</v>
      </c>
    </row>
    <row r="68" spans="1:32" ht="14" x14ac:dyDescent="0.3">
      <c r="A68" s="10">
        <v>64</v>
      </c>
      <c r="B68" s="27" t="s">
        <v>106</v>
      </c>
      <c r="C68" s="27"/>
      <c r="D68" s="28">
        <v>46113</v>
      </c>
      <c r="E68" s="28">
        <v>46127</v>
      </c>
      <c r="F68" s="13">
        <f t="shared" ref="F68:F99" si="16">(E68-D68)+1</f>
        <v>15</v>
      </c>
      <c r="G68" s="13">
        <v>600</v>
      </c>
      <c r="H68" s="41">
        <v>0</v>
      </c>
      <c r="I68" s="52">
        <f t="shared" si="9"/>
        <v>0</v>
      </c>
      <c r="J68" s="30" t="str">
        <f t="shared" si="10"/>
        <v/>
      </c>
      <c r="K68" s="24" t="b">
        <f>FALSE()</f>
        <v>0</v>
      </c>
      <c r="L68" s="25">
        <f t="shared" si="11"/>
        <v>0</v>
      </c>
      <c r="M68" s="26" t="b">
        <f>TRUE()</f>
        <v>1</v>
      </c>
      <c r="N68" s="30" t="str">
        <f t="shared" si="12"/>
        <v/>
      </c>
      <c r="O68" s="24" t="b">
        <f>FALSE()</f>
        <v>0</v>
      </c>
      <c r="P68" s="26" t="str">
        <f t="shared" si="13"/>
        <v/>
      </c>
      <c r="Q68" s="26" t="b">
        <f>FALSE()</f>
        <v>0</v>
      </c>
      <c r="R68" s="30" t="str">
        <f t="shared" si="14"/>
        <v/>
      </c>
      <c r="S68" s="24" t="b">
        <f>FALSE()</f>
        <v>0</v>
      </c>
      <c r="T68" s="25">
        <f t="shared" si="15"/>
        <v>0</v>
      </c>
      <c r="U68" s="24" t="b">
        <f>TRUE()</f>
        <v>1</v>
      </c>
      <c r="V68" s="26"/>
      <c r="W68" s="24" t="b">
        <f>FALSE()</f>
        <v>0</v>
      </c>
      <c r="X68" s="26"/>
      <c r="Y68" s="24" t="b">
        <f>FALSE()</f>
        <v>0</v>
      </c>
      <c r="Z68" s="54"/>
      <c r="AA68" s="54"/>
      <c r="AB68" s="54"/>
      <c r="AC68" s="54"/>
      <c r="AD68" s="54"/>
      <c r="AE68" s="54"/>
      <c r="AF68" s="54"/>
    </row>
    <row r="69" spans="1:32" ht="14" x14ac:dyDescent="0.25">
      <c r="A69" s="10">
        <v>65</v>
      </c>
      <c r="B69" s="27" t="s">
        <v>70</v>
      </c>
      <c r="C69" s="27"/>
      <c r="D69" s="28">
        <v>46113</v>
      </c>
      <c r="E69" s="28">
        <v>46142</v>
      </c>
      <c r="F69" s="13">
        <f t="shared" si="16"/>
        <v>30</v>
      </c>
      <c r="G69" s="13">
        <v>900</v>
      </c>
      <c r="H69" s="41">
        <v>1415</v>
      </c>
      <c r="I69" s="52">
        <f t="shared" ref="I69:I100" si="17">IFERROR(H69/(F69*G69),"")</f>
        <v>5.2407407407407409E-2</v>
      </c>
      <c r="J69" s="17" t="str">
        <f t="shared" ref="J69:J100" si="18">IF(K69=TRUE(),$I69,"")</f>
        <v/>
      </c>
      <c r="K69" s="18" t="b">
        <f>FALSE()</f>
        <v>0</v>
      </c>
      <c r="L69" s="29">
        <f t="shared" ref="L69:L100" si="19">IF(M69=TRUE(),$I69,"")</f>
        <v>5.2407407407407409E-2</v>
      </c>
      <c r="M69" s="19" t="b">
        <f>TRUE()</f>
        <v>1</v>
      </c>
      <c r="N69" s="17" t="str">
        <f t="shared" ref="N69:N100" si="20">IF(O69=TRUE(),$I69,"")</f>
        <v/>
      </c>
      <c r="O69" s="18" t="b">
        <f>FALSE()</f>
        <v>0</v>
      </c>
      <c r="P69" s="19" t="str">
        <f t="shared" ref="P69:P100" si="21">IF(Q69=TRUE(),$I69,"")</f>
        <v/>
      </c>
      <c r="Q69" s="19" t="b">
        <f>FALSE()</f>
        <v>0</v>
      </c>
      <c r="R69" s="17" t="str">
        <f t="shared" ref="R69:R100" si="22">IF(S69=TRUE(),$I69,"")</f>
        <v/>
      </c>
      <c r="S69" s="18" t="b">
        <f>FALSE()</f>
        <v>0</v>
      </c>
      <c r="T69" s="19" t="str">
        <f t="shared" ref="T69:T100" si="23">IF(U69=TRUE(),$I69,"")</f>
        <v/>
      </c>
      <c r="U69" s="18" t="b">
        <f>FALSE()</f>
        <v>0</v>
      </c>
      <c r="V69" s="19"/>
      <c r="W69" s="18" t="b">
        <f>FALSE()</f>
        <v>0</v>
      </c>
      <c r="X69" s="19"/>
      <c r="Y69" s="18" t="b">
        <f>FALSE()</f>
        <v>0</v>
      </c>
    </row>
    <row r="70" spans="1:32" ht="14" x14ac:dyDescent="0.25">
      <c r="A70" s="10">
        <v>66</v>
      </c>
      <c r="B70" s="27" t="s">
        <v>107</v>
      </c>
      <c r="C70" s="27"/>
      <c r="D70" s="28">
        <v>46111</v>
      </c>
      <c r="E70" s="28">
        <v>46117</v>
      </c>
      <c r="F70" s="13">
        <f t="shared" si="16"/>
        <v>7</v>
      </c>
      <c r="G70" s="13">
        <v>900</v>
      </c>
      <c r="H70" s="41">
        <v>350</v>
      </c>
      <c r="I70" s="52">
        <f t="shared" si="17"/>
        <v>5.5555555555555552E-2</v>
      </c>
      <c r="J70" s="30" t="str">
        <f t="shared" si="18"/>
        <v/>
      </c>
      <c r="K70" s="24" t="b">
        <f>FALSE()</f>
        <v>0</v>
      </c>
      <c r="L70" s="26" t="str">
        <f t="shared" si="19"/>
        <v/>
      </c>
      <c r="M70" s="26" t="b">
        <f>FALSE()</f>
        <v>0</v>
      </c>
      <c r="N70" s="30" t="str">
        <f t="shared" si="20"/>
        <v/>
      </c>
      <c r="O70" s="24" t="b">
        <f>FALSE()</f>
        <v>0</v>
      </c>
      <c r="P70" s="25">
        <f t="shared" si="21"/>
        <v>5.5555555555555552E-2</v>
      </c>
      <c r="Q70" s="26" t="b">
        <f>TRUE()</f>
        <v>1</v>
      </c>
      <c r="R70" s="23">
        <f t="shared" si="22"/>
        <v>5.5555555555555552E-2</v>
      </c>
      <c r="S70" s="24" t="b">
        <f>TRUE()</f>
        <v>1</v>
      </c>
      <c r="T70" s="26" t="str">
        <f t="shared" si="23"/>
        <v/>
      </c>
      <c r="U70" s="24" t="b">
        <f>FALSE()</f>
        <v>0</v>
      </c>
      <c r="V70" s="26"/>
      <c r="W70" s="24" t="b">
        <f>FALSE()</f>
        <v>0</v>
      </c>
      <c r="X70" s="26"/>
      <c r="Y70" s="24" t="b">
        <f>FALSE()</f>
        <v>0</v>
      </c>
    </row>
    <row r="71" spans="1:32" ht="14" x14ac:dyDescent="0.25">
      <c r="A71" s="10">
        <v>67</v>
      </c>
      <c r="B71" s="27" t="s">
        <v>108</v>
      </c>
      <c r="C71" s="27" t="s">
        <v>57</v>
      </c>
      <c r="D71" s="28">
        <v>46113</v>
      </c>
      <c r="E71" s="28">
        <v>46142</v>
      </c>
      <c r="F71" s="13">
        <f t="shared" si="16"/>
        <v>30</v>
      </c>
      <c r="G71" s="13">
        <v>450</v>
      </c>
      <c r="H71" s="41">
        <v>600</v>
      </c>
      <c r="I71" s="52">
        <f t="shared" si="17"/>
        <v>4.4444444444444446E-2</v>
      </c>
      <c r="J71" s="17" t="str">
        <f t="shared" si="18"/>
        <v/>
      </c>
      <c r="K71" s="18" t="b">
        <f>FALSE()</f>
        <v>0</v>
      </c>
      <c r="L71" s="19" t="str">
        <f t="shared" si="19"/>
        <v/>
      </c>
      <c r="M71" s="19" t="b">
        <f>FALSE()</f>
        <v>0</v>
      </c>
      <c r="N71" s="17" t="str">
        <f t="shared" si="20"/>
        <v/>
      </c>
      <c r="O71" s="18" t="b">
        <f>FALSE()</f>
        <v>0</v>
      </c>
      <c r="P71" s="19" t="str">
        <f t="shared" si="21"/>
        <v/>
      </c>
      <c r="Q71" s="19" t="b">
        <f>FALSE()</f>
        <v>0</v>
      </c>
      <c r="R71" s="17" t="str">
        <f t="shared" si="22"/>
        <v/>
      </c>
      <c r="S71" s="18" t="b">
        <f>FALSE()</f>
        <v>0</v>
      </c>
      <c r="T71" s="29">
        <f t="shared" si="23"/>
        <v>4.4444444444444446E-2</v>
      </c>
      <c r="U71" s="18" t="b">
        <f>TRUE()</f>
        <v>1</v>
      </c>
      <c r="V71" s="19"/>
      <c r="W71" s="18" t="b">
        <f>FALSE()</f>
        <v>0</v>
      </c>
      <c r="X71" s="19"/>
      <c r="Y71" s="18" t="b">
        <f>FALSE()</f>
        <v>0</v>
      </c>
    </row>
    <row r="72" spans="1:32" ht="14" x14ac:dyDescent="0.25">
      <c r="A72" s="10">
        <v>68</v>
      </c>
      <c r="B72" s="27" t="s">
        <v>58</v>
      </c>
      <c r="C72" s="27" t="s">
        <v>57</v>
      </c>
      <c r="D72" s="28">
        <v>46113</v>
      </c>
      <c r="E72" s="28">
        <v>46142</v>
      </c>
      <c r="F72" s="13">
        <f t="shared" si="16"/>
        <v>30</v>
      </c>
      <c r="G72" s="13">
        <v>900</v>
      </c>
      <c r="H72" s="41">
        <v>1200</v>
      </c>
      <c r="I72" s="52">
        <f t="shared" si="17"/>
        <v>4.4444444444444446E-2</v>
      </c>
      <c r="J72" s="23">
        <f t="shared" si="18"/>
        <v>4.4444444444444446E-2</v>
      </c>
      <c r="K72" s="24" t="b">
        <f>TRUE()</f>
        <v>1</v>
      </c>
      <c r="L72" s="26" t="str">
        <f t="shared" si="19"/>
        <v/>
      </c>
      <c r="M72" s="26" t="b">
        <f>FALSE()</f>
        <v>0</v>
      </c>
      <c r="N72" s="30" t="str">
        <f t="shared" si="20"/>
        <v/>
      </c>
      <c r="O72" s="24" t="b">
        <f>FALSE()</f>
        <v>0</v>
      </c>
      <c r="P72" s="25">
        <f t="shared" si="21"/>
        <v>4.4444444444444446E-2</v>
      </c>
      <c r="Q72" s="26" t="b">
        <f>TRUE()</f>
        <v>1</v>
      </c>
      <c r="R72" s="30" t="str">
        <f t="shared" si="22"/>
        <v/>
      </c>
      <c r="S72" s="24" t="b">
        <f>FALSE()</f>
        <v>0</v>
      </c>
      <c r="T72" s="26" t="str">
        <f t="shared" si="23"/>
        <v/>
      </c>
      <c r="U72" s="24" t="b">
        <f>FALSE()</f>
        <v>0</v>
      </c>
      <c r="V72" s="26"/>
      <c r="W72" s="24" t="b">
        <f>FALSE()</f>
        <v>0</v>
      </c>
      <c r="X72" s="26"/>
      <c r="Y72" s="24" t="b">
        <f>FALSE()</f>
        <v>0</v>
      </c>
    </row>
    <row r="73" spans="1:32" ht="14" x14ac:dyDescent="0.25">
      <c r="A73" s="10">
        <v>69</v>
      </c>
      <c r="B73" s="27" t="s">
        <v>84</v>
      </c>
      <c r="C73" s="27" t="s">
        <v>109</v>
      </c>
      <c r="D73" s="28">
        <v>46127</v>
      </c>
      <c r="E73" s="28">
        <v>46156</v>
      </c>
      <c r="F73" s="13">
        <f t="shared" si="16"/>
        <v>30</v>
      </c>
      <c r="G73" s="13">
        <v>300</v>
      </c>
      <c r="H73" s="41">
        <v>725</v>
      </c>
      <c r="I73" s="52">
        <f t="shared" si="17"/>
        <v>8.0555555555555561E-2</v>
      </c>
      <c r="J73" s="31">
        <f t="shared" si="18"/>
        <v>8.0555555555555561E-2</v>
      </c>
      <c r="K73" s="18" t="b">
        <f>TRUE()</f>
        <v>1</v>
      </c>
      <c r="L73" s="19" t="str">
        <f t="shared" si="19"/>
        <v/>
      </c>
      <c r="M73" s="19" t="b">
        <f>FALSE()</f>
        <v>0</v>
      </c>
      <c r="N73" s="31">
        <f t="shared" si="20"/>
        <v>8.0555555555555561E-2</v>
      </c>
      <c r="O73" s="18" t="b">
        <f>TRUE()</f>
        <v>1</v>
      </c>
      <c r="P73" s="19" t="str">
        <f t="shared" si="21"/>
        <v/>
      </c>
      <c r="Q73" s="19" t="b">
        <f>FALSE()</f>
        <v>0</v>
      </c>
      <c r="R73" s="31">
        <f t="shared" si="22"/>
        <v>8.0555555555555561E-2</v>
      </c>
      <c r="S73" s="18" t="b">
        <f>TRUE()</f>
        <v>1</v>
      </c>
      <c r="T73" s="19" t="str">
        <f t="shared" si="23"/>
        <v/>
      </c>
      <c r="U73" s="18" t="b">
        <f>FALSE()</f>
        <v>0</v>
      </c>
      <c r="V73" s="19"/>
      <c r="W73" s="18" t="b">
        <f>FALSE()</f>
        <v>0</v>
      </c>
      <c r="X73" s="19"/>
      <c r="Y73" s="18" t="b">
        <f>FALSE()</f>
        <v>0</v>
      </c>
    </row>
    <row r="74" spans="1:32" ht="14" x14ac:dyDescent="0.3">
      <c r="A74" s="10">
        <v>70</v>
      </c>
      <c r="B74" s="27" t="s">
        <v>98</v>
      </c>
      <c r="C74" s="27"/>
      <c r="D74" s="28">
        <v>46128</v>
      </c>
      <c r="E74" s="28">
        <v>46142</v>
      </c>
      <c r="F74" s="13">
        <f t="shared" si="16"/>
        <v>15</v>
      </c>
      <c r="G74" s="13">
        <v>900</v>
      </c>
      <c r="H74" s="41">
        <v>750</v>
      </c>
      <c r="I74" s="52">
        <f t="shared" si="17"/>
        <v>5.5555555555555552E-2</v>
      </c>
      <c r="J74" s="30" t="str">
        <f t="shared" si="18"/>
        <v/>
      </c>
      <c r="K74" s="24" t="b">
        <f>FALSE()</f>
        <v>0</v>
      </c>
      <c r="L74" s="26" t="str">
        <f t="shared" si="19"/>
        <v/>
      </c>
      <c r="M74" s="26" t="b">
        <f>FALSE()</f>
        <v>0</v>
      </c>
      <c r="N74" s="23">
        <f t="shared" si="20"/>
        <v>5.5555555555555552E-2</v>
      </c>
      <c r="O74" s="24" t="b">
        <f>TRUE()</f>
        <v>1</v>
      </c>
      <c r="P74" s="26" t="str">
        <f t="shared" si="21"/>
        <v/>
      </c>
      <c r="Q74" s="26" t="b">
        <f>FALSE()</f>
        <v>0</v>
      </c>
      <c r="R74" s="23">
        <f t="shared" si="22"/>
        <v>5.5555555555555552E-2</v>
      </c>
      <c r="S74" s="24" t="b">
        <f>TRUE()</f>
        <v>1</v>
      </c>
      <c r="T74" s="26" t="str">
        <f t="shared" si="23"/>
        <v/>
      </c>
      <c r="U74" s="24" t="b">
        <f>FALSE()</f>
        <v>0</v>
      </c>
      <c r="V74" s="26"/>
      <c r="W74" s="24" t="b">
        <f>FALSE()</f>
        <v>0</v>
      </c>
      <c r="X74" s="26"/>
      <c r="Y74" s="24" t="b">
        <f>FALSE()</f>
        <v>0</v>
      </c>
      <c r="Z74" s="54"/>
      <c r="AA74" s="54"/>
      <c r="AB74" s="54"/>
      <c r="AC74" s="54"/>
      <c r="AD74" s="54"/>
      <c r="AE74" s="54"/>
      <c r="AF74" s="54"/>
    </row>
    <row r="75" spans="1:32" ht="14" x14ac:dyDescent="0.25">
      <c r="A75" s="10">
        <v>71</v>
      </c>
      <c r="B75" s="27" t="s">
        <v>110</v>
      </c>
      <c r="C75" s="27" t="s">
        <v>111</v>
      </c>
      <c r="D75" s="28">
        <v>46118</v>
      </c>
      <c r="E75" s="28">
        <v>46147</v>
      </c>
      <c r="F75" s="13">
        <f t="shared" si="16"/>
        <v>30</v>
      </c>
      <c r="G75" s="13">
        <v>900</v>
      </c>
      <c r="H75" s="41">
        <v>1296.68</v>
      </c>
      <c r="I75" s="52">
        <f t="shared" si="17"/>
        <v>4.8025185185185185E-2</v>
      </c>
      <c r="J75" s="31">
        <f t="shared" si="18"/>
        <v>4.8025185185185185E-2</v>
      </c>
      <c r="K75" s="18" t="b">
        <f>TRUE()</f>
        <v>1</v>
      </c>
      <c r="L75" s="19" t="str">
        <f t="shared" si="19"/>
        <v/>
      </c>
      <c r="M75" s="19" t="b">
        <f>FALSE()</f>
        <v>0</v>
      </c>
      <c r="N75" s="31">
        <f t="shared" si="20"/>
        <v>4.8025185185185185E-2</v>
      </c>
      <c r="O75" s="18" t="b">
        <f>TRUE()</f>
        <v>1</v>
      </c>
      <c r="P75" s="19" t="str">
        <f t="shared" si="21"/>
        <v/>
      </c>
      <c r="Q75" s="19" t="b">
        <f>FALSE()</f>
        <v>0</v>
      </c>
      <c r="R75" s="17" t="str">
        <f t="shared" si="22"/>
        <v/>
      </c>
      <c r="S75" s="18" t="b">
        <f>FALSE()</f>
        <v>0</v>
      </c>
      <c r="T75" s="19" t="str">
        <f t="shared" si="23"/>
        <v/>
      </c>
      <c r="U75" s="18" t="b">
        <f>FALSE()</f>
        <v>0</v>
      </c>
      <c r="V75" s="19"/>
      <c r="W75" s="18" t="b">
        <f>FALSE()</f>
        <v>0</v>
      </c>
      <c r="X75" s="19"/>
      <c r="Y75" s="18" t="b">
        <f>FALSE()</f>
        <v>0</v>
      </c>
    </row>
    <row r="76" spans="1:32" ht="14" x14ac:dyDescent="0.25">
      <c r="A76" s="10">
        <v>72</v>
      </c>
      <c r="B76" s="27" t="s">
        <v>112</v>
      </c>
      <c r="C76" s="27" t="s">
        <v>113</v>
      </c>
      <c r="D76" s="28">
        <v>46120</v>
      </c>
      <c r="E76" s="28">
        <v>46149</v>
      </c>
      <c r="F76" s="13">
        <f t="shared" si="16"/>
        <v>30</v>
      </c>
      <c r="G76" s="13">
        <v>300</v>
      </c>
      <c r="H76" s="41">
        <v>381.38</v>
      </c>
      <c r="I76" s="52">
        <f t="shared" si="17"/>
        <v>4.2375555555555555E-2</v>
      </c>
      <c r="J76" s="30" t="str">
        <f t="shared" si="18"/>
        <v/>
      </c>
      <c r="K76" s="24" t="b">
        <f>FALSE()</f>
        <v>0</v>
      </c>
      <c r="L76" s="26" t="str">
        <f t="shared" si="19"/>
        <v/>
      </c>
      <c r="M76" s="26" t="b">
        <f>FALSE()</f>
        <v>0</v>
      </c>
      <c r="N76" s="23">
        <f t="shared" si="20"/>
        <v>4.2375555555555555E-2</v>
      </c>
      <c r="O76" s="24" t="b">
        <f>TRUE()</f>
        <v>1</v>
      </c>
      <c r="P76" s="26" t="str">
        <f t="shared" si="21"/>
        <v/>
      </c>
      <c r="Q76" s="26" t="b">
        <f>FALSE()</f>
        <v>0</v>
      </c>
      <c r="R76" s="30" t="str">
        <f t="shared" si="22"/>
        <v/>
      </c>
      <c r="S76" s="24" t="b">
        <f>FALSE()</f>
        <v>0</v>
      </c>
      <c r="T76" s="26" t="str">
        <f t="shared" si="23"/>
        <v/>
      </c>
      <c r="U76" s="24" t="b">
        <f>FALSE()</f>
        <v>0</v>
      </c>
      <c r="V76" s="26"/>
      <c r="W76" s="24" t="b">
        <f>FALSE()</f>
        <v>0</v>
      </c>
      <c r="X76" s="26"/>
      <c r="Y76" s="24" t="b">
        <f>FALSE()</f>
        <v>0</v>
      </c>
    </row>
    <row r="77" spans="1:32" ht="14" x14ac:dyDescent="0.25">
      <c r="A77" s="10">
        <v>73</v>
      </c>
      <c r="B77" s="27" t="s">
        <v>114</v>
      </c>
      <c r="C77" s="27" t="s">
        <v>115</v>
      </c>
      <c r="D77" s="28">
        <v>46121</v>
      </c>
      <c r="E77" s="28">
        <v>46150</v>
      </c>
      <c r="F77" s="13">
        <f t="shared" si="16"/>
        <v>30</v>
      </c>
      <c r="G77" s="13">
        <v>300</v>
      </c>
      <c r="H77" s="41">
        <v>550</v>
      </c>
      <c r="I77" s="52">
        <f t="shared" si="17"/>
        <v>6.1111111111111109E-2</v>
      </c>
      <c r="J77" s="17" t="str">
        <f t="shared" si="18"/>
        <v/>
      </c>
      <c r="K77" s="18" t="b">
        <f>FALSE()</f>
        <v>0</v>
      </c>
      <c r="L77" s="19" t="str">
        <f t="shared" si="19"/>
        <v/>
      </c>
      <c r="M77" s="19" t="b">
        <f>FALSE()</f>
        <v>0</v>
      </c>
      <c r="N77" s="31">
        <f t="shared" si="20"/>
        <v>6.1111111111111109E-2</v>
      </c>
      <c r="O77" s="18" t="b">
        <f>TRUE()</f>
        <v>1</v>
      </c>
      <c r="P77" s="19" t="str">
        <f t="shared" si="21"/>
        <v/>
      </c>
      <c r="Q77" s="19" t="b">
        <f>FALSE()</f>
        <v>0</v>
      </c>
      <c r="R77" s="17" t="str">
        <f t="shared" si="22"/>
        <v/>
      </c>
      <c r="S77" s="18" t="b">
        <f>FALSE()</f>
        <v>0</v>
      </c>
      <c r="T77" s="19" t="str">
        <f t="shared" si="23"/>
        <v/>
      </c>
      <c r="U77" s="18" t="b">
        <f>FALSE()</f>
        <v>0</v>
      </c>
      <c r="V77" s="19"/>
      <c r="W77" s="18" t="b">
        <f>FALSE()</f>
        <v>0</v>
      </c>
      <c r="X77" s="19"/>
      <c r="Y77" s="18" t="b">
        <f>FALSE()</f>
        <v>0</v>
      </c>
    </row>
    <row r="78" spans="1:32" ht="14" x14ac:dyDescent="0.3">
      <c r="A78" s="10">
        <v>74</v>
      </c>
      <c r="B78" s="27" t="s">
        <v>116</v>
      </c>
      <c r="C78" s="27" t="s">
        <v>117</v>
      </c>
      <c r="D78" s="28">
        <v>46122</v>
      </c>
      <c r="E78" s="28">
        <v>46151</v>
      </c>
      <c r="F78" s="13">
        <f t="shared" si="16"/>
        <v>30</v>
      </c>
      <c r="G78" s="13">
        <v>600</v>
      </c>
      <c r="H78" s="41">
        <v>0</v>
      </c>
      <c r="I78" s="52">
        <f t="shared" si="17"/>
        <v>0</v>
      </c>
      <c r="J78" s="30" t="str">
        <f t="shared" si="18"/>
        <v/>
      </c>
      <c r="K78" s="24" t="b">
        <f>FALSE()</f>
        <v>0</v>
      </c>
      <c r="L78" s="26" t="str">
        <f t="shared" si="19"/>
        <v/>
      </c>
      <c r="M78" s="26" t="b">
        <f>FALSE()</f>
        <v>0</v>
      </c>
      <c r="N78" s="30" t="str">
        <f t="shared" si="20"/>
        <v/>
      </c>
      <c r="O78" s="24" t="b">
        <f>FALSE()</f>
        <v>0</v>
      </c>
      <c r="P78" s="26" t="str">
        <f t="shared" si="21"/>
        <v/>
      </c>
      <c r="Q78" s="26" t="b">
        <f>FALSE()</f>
        <v>0</v>
      </c>
      <c r="R78" s="23">
        <f t="shared" si="22"/>
        <v>0</v>
      </c>
      <c r="S78" s="24" t="b">
        <f>TRUE()</f>
        <v>1</v>
      </c>
      <c r="T78" s="25">
        <f t="shared" si="23"/>
        <v>0</v>
      </c>
      <c r="U78" s="24" t="b">
        <f>TRUE()</f>
        <v>1</v>
      </c>
      <c r="V78" s="26"/>
      <c r="W78" s="24" t="b">
        <f>FALSE()</f>
        <v>0</v>
      </c>
      <c r="X78" s="26"/>
      <c r="Y78" s="24" t="b">
        <f>FALSE()</f>
        <v>0</v>
      </c>
      <c r="Z78" s="54"/>
      <c r="AA78" s="54"/>
      <c r="AB78" s="54"/>
      <c r="AC78" s="54"/>
      <c r="AD78" s="54"/>
      <c r="AE78" s="54"/>
      <c r="AF78" s="54"/>
    </row>
    <row r="79" spans="1:32" ht="14" x14ac:dyDescent="0.3">
      <c r="A79" s="10">
        <v>75</v>
      </c>
      <c r="B79" s="27" t="s">
        <v>118</v>
      </c>
      <c r="C79" s="27" t="s">
        <v>119</v>
      </c>
      <c r="D79" s="28">
        <v>46122</v>
      </c>
      <c r="E79" s="28">
        <v>46130</v>
      </c>
      <c r="F79" s="13">
        <f t="shared" si="16"/>
        <v>9</v>
      </c>
      <c r="G79" s="13">
        <v>900</v>
      </c>
      <c r="H79" s="41">
        <v>0</v>
      </c>
      <c r="I79" s="52">
        <f t="shared" si="17"/>
        <v>0</v>
      </c>
      <c r="J79" s="17" t="str">
        <f t="shared" si="18"/>
        <v/>
      </c>
      <c r="K79" s="18" t="b">
        <f>FALSE()</f>
        <v>0</v>
      </c>
      <c r="L79" s="29">
        <f t="shared" si="19"/>
        <v>0</v>
      </c>
      <c r="M79" s="19" t="b">
        <f>TRUE()</f>
        <v>1</v>
      </c>
      <c r="N79" s="17" t="str">
        <f t="shared" si="20"/>
        <v/>
      </c>
      <c r="O79" s="18" t="b">
        <f>FALSE()</f>
        <v>0</v>
      </c>
      <c r="P79" s="29">
        <f t="shared" si="21"/>
        <v>0</v>
      </c>
      <c r="Q79" s="19" t="b">
        <f>TRUE()</f>
        <v>1</v>
      </c>
      <c r="R79" s="31">
        <f t="shared" si="22"/>
        <v>0</v>
      </c>
      <c r="S79" s="18" t="b">
        <f>TRUE()</f>
        <v>1</v>
      </c>
      <c r="T79" s="19" t="str">
        <f t="shared" si="23"/>
        <v/>
      </c>
      <c r="U79" s="18" t="b">
        <f>FALSE()</f>
        <v>0</v>
      </c>
      <c r="V79" s="19"/>
      <c r="W79" s="18" t="b">
        <f>FALSE()</f>
        <v>0</v>
      </c>
      <c r="X79" s="19"/>
      <c r="Y79" s="18" t="b">
        <f>FALSE()</f>
        <v>0</v>
      </c>
      <c r="Z79" s="54"/>
      <c r="AA79" s="54"/>
      <c r="AB79" s="54"/>
      <c r="AC79" s="54"/>
      <c r="AD79" s="54"/>
      <c r="AE79" s="54"/>
      <c r="AF79" s="54"/>
    </row>
    <row r="80" spans="1:32" ht="14" x14ac:dyDescent="0.25">
      <c r="A80" s="10">
        <v>76</v>
      </c>
      <c r="B80" s="27" t="s">
        <v>120</v>
      </c>
      <c r="C80" s="27" t="s">
        <v>121</v>
      </c>
      <c r="D80" s="28">
        <v>46125</v>
      </c>
      <c r="E80" s="28">
        <v>46138</v>
      </c>
      <c r="F80" s="13">
        <f t="shared" si="16"/>
        <v>14</v>
      </c>
      <c r="G80" s="13">
        <v>450</v>
      </c>
      <c r="H80" s="41">
        <v>400</v>
      </c>
      <c r="I80" s="52">
        <f t="shared" si="17"/>
        <v>6.3492063492063489E-2</v>
      </c>
      <c r="J80" s="30" t="str">
        <f t="shared" si="18"/>
        <v/>
      </c>
      <c r="K80" s="24" t="b">
        <f>FALSE()</f>
        <v>0</v>
      </c>
      <c r="L80" s="26" t="str">
        <f t="shared" si="19"/>
        <v/>
      </c>
      <c r="M80" s="26" t="b">
        <f>FALSE()</f>
        <v>0</v>
      </c>
      <c r="N80" s="23">
        <f t="shared" si="20"/>
        <v>6.3492063492063489E-2</v>
      </c>
      <c r="O80" s="24" t="b">
        <f>TRUE()</f>
        <v>1</v>
      </c>
      <c r="P80" s="26" t="str">
        <f t="shared" si="21"/>
        <v/>
      </c>
      <c r="Q80" s="26" t="b">
        <f>FALSE()</f>
        <v>0</v>
      </c>
      <c r="R80" s="30" t="str">
        <f t="shared" si="22"/>
        <v/>
      </c>
      <c r="S80" s="24" t="b">
        <f>FALSE()</f>
        <v>0</v>
      </c>
      <c r="T80" s="26" t="str">
        <f t="shared" si="23"/>
        <v/>
      </c>
      <c r="U80" s="24" t="b">
        <f>FALSE()</f>
        <v>0</v>
      </c>
      <c r="V80" s="26"/>
      <c r="W80" s="24" t="b">
        <f>FALSE()</f>
        <v>0</v>
      </c>
      <c r="X80" s="26"/>
      <c r="Y80" s="24" t="b">
        <f>FALSE()</f>
        <v>0</v>
      </c>
    </row>
    <row r="81" spans="1:32" ht="14" x14ac:dyDescent="0.25">
      <c r="A81" s="10">
        <v>77</v>
      </c>
      <c r="B81" s="27" t="s">
        <v>80</v>
      </c>
      <c r="C81" s="27" t="s">
        <v>122</v>
      </c>
      <c r="D81" s="28">
        <v>46127</v>
      </c>
      <c r="E81" s="28">
        <v>46160</v>
      </c>
      <c r="F81" s="13">
        <f t="shared" si="16"/>
        <v>34</v>
      </c>
      <c r="G81" s="13">
        <v>1350</v>
      </c>
      <c r="H81" s="41">
        <v>2365</v>
      </c>
      <c r="I81" s="52">
        <f t="shared" si="17"/>
        <v>5.1525054466230936E-2</v>
      </c>
      <c r="J81" s="31">
        <f t="shared" si="18"/>
        <v>5.1525054466230936E-2</v>
      </c>
      <c r="K81" s="18" t="b">
        <f>TRUE()</f>
        <v>1</v>
      </c>
      <c r="L81" s="19" t="str">
        <f t="shared" si="19"/>
        <v/>
      </c>
      <c r="M81" s="19" t="b">
        <f>FALSE()</f>
        <v>0</v>
      </c>
      <c r="N81" s="17" t="str">
        <f t="shared" si="20"/>
        <v/>
      </c>
      <c r="O81" s="18" t="b">
        <f>FALSE()</f>
        <v>0</v>
      </c>
      <c r="P81" s="29">
        <f t="shared" si="21"/>
        <v>5.1525054466230936E-2</v>
      </c>
      <c r="Q81" s="19" t="b">
        <f>TRUE()</f>
        <v>1</v>
      </c>
      <c r="R81" s="31">
        <f t="shared" si="22"/>
        <v>5.1525054466230936E-2</v>
      </c>
      <c r="S81" s="18" t="b">
        <f>TRUE()</f>
        <v>1</v>
      </c>
      <c r="T81" s="19" t="str">
        <f t="shared" si="23"/>
        <v/>
      </c>
      <c r="U81" s="18" t="b">
        <f>FALSE()</f>
        <v>0</v>
      </c>
      <c r="V81" s="19"/>
      <c r="W81" s="18" t="b">
        <f>FALSE()</f>
        <v>0</v>
      </c>
      <c r="X81" s="19"/>
      <c r="Y81" s="18" t="b">
        <f>FALSE()</f>
        <v>0</v>
      </c>
    </row>
    <row r="82" spans="1:32" ht="14" x14ac:dyDescent="0.25">
      <c r="A82" s="10">
        <v>78</v>
      </c>
      <c r="B82" s="27" t="s">
        <v>19</v>
      </c>
      <c r="C82" s="55"/>
      <c r="D82" s="28">
        <v>46113</v>
      </c>
      <c r="E82" s="28">
        <v>46142</v>
      </c>
      <c r="F82" s="13">
        <f t="shared" si="16"/>
        <v>30</v>
      </c>
      <c r="G82" s="13"/>
      <c r="H82" s="41"/>
      <c r="I82" s="52" t="str">
        <f t="shared" si="17"/>
        <v/>
      </c>
      <c r="J82" s="30" t="str">
        <f t="shared" si="18"/>
        <v/>
      </c>
      <c r="K82" s="24" t="b">
        <f>FALSE()</f>
        <v>0</v>
      </c>
      <c r="L82" s="26" t="str">
        <f t="shared" si="19"/>
        <v/>
      </c>
      <c r="M82" s="26" t="b">
        <f>FALSE()</f>
        <v>0</v>
      </c>
      <c r="N82" s="30" t="str">
        <f t="shared" si="20"/>
        <v/>
      </c>
      <c r="O82" s="24" t="b">
        <f>FALSE()</f>
        <v>0</v>
      </c>
      <c r="P82" s="26" t="str">
        <f t="shared" si="21"/>
        <v/>
      </c>
      <c r="Q82" s="26" t="b">
        <f>FALSE()</f>
        <v>0</v>
      </c>
      <c r="R82" s="30" t="str">
        <f t="shared" si="22"/>
        <v/>
      </c>
      <c r="S82" s="24" t="b">
        <f>FALSE()</f>
        <v>0</v>
      </c>
      <c r="T82" s="26" t="str">
        <f t="shared" si="23"/>
        <v/>
      </c>
      <c r="U82" s="24" t="b">
        <f>FALSE()</f>
        <v>0</v>
      </c>
      <c r="V82" s="26"/>
      <c r="W82" s="24" t="b">
        <f>FALSE()</f>
        <v>0</v>
      </c>
      <c r="X82" s="26"/>
      <c r="Y82" s="24" t="b">
        <f>FALSE()</f>
        <v>0</v>
      </c>
    </row>
    <row r="83" spans="1:32" ht="14" x14ac:dyDescent="0.25">
      <c r="A83" s="10">
        <v>79</v>
      </c>
      <c r="B83" s="27" t="s">
        <v>123</v>
      </c>
      <c r="C83" s="27"/>
      <c r="D83" s="28">
        <v>46128</v>
      </c>
      <c r="E83" s="28">
        <v>46157</v>
      </c>
      <c r="F83" s="13">
        <f t="shared" si="16"/>
        <v>30</v>
      </c>
      <c r="G83" s="13">
        <v>450</v>
      </c>
      <c r="H83" s="41">
        <v>900</v>
      </c>
      <c r="I83" s="52">
        <f t="shared" si="17"/>
        <v>6.6666666666666666E-2</v>
      </c>
      <c r="J83" s="17" t="str">
        <f t="shared" si="18"/>
        <v/>
      </c>
      <c r="K83" s="18" t="b">
        <f>FALSE()</f>
        <v>0</v>
      </c>
      <c r="L83" s="19" t="str">
        <f t="shared" si="19"/>
        <v/>
      </c>
      <c r="M83" s="19" t="b">
        <f>FALSE()</f>
        <v>0</v>
      </c>
      <c r="N83" s="17" t="str">
        <f t="shared" si="20"/>
        <v/>
      </c>
      <c r="O83" s="18" t="b">
        <f>FALSE()</f>
        <v>0</v>
      </c>
      <c r="P83" s="29">
        <f t="shared" si="21"/>
        <v>6.6666666666666666E-2</v>
      </c>
      <c r="Q83" s="19" t="b">
        <f>TRUE()</f>
        <v>1</v>
      </c>
      <c r="R83" s="17" t="str">
        <f t="shared" si="22"/>
        <v/>
      </c>
      <c r="S83" s="18" t="b">
        <f>FALSE()</f>
        <v>0</v>
      </c>
      <c r="T83" s="19" t="str">
        <f t="shared" si="23"/>
        <v/>
      </c>
      <c r="U83" s="18" t="b">
        <f>FALSE()</f>
        <v>0</v>
      </c>
      <c r="V83" s="19"/>
      <c r="W83" s="18" t="b">
        <f>FALSE()</f>
        <v>0</v>
      </c>
      <c r="X83" s="19"/>
      <c r="Y83" s="18" t="b">
        <f>FALSE()</f>
        <v>0</v>
      </c>
    </row>
    <row r="84" spans="1:32" ht="14" x14ac:dyDescent="0.25">
      <c r="A84" s="10">
        <v>80</v>
      </c>
      <c r="B84" s="27" t="s">
        <v>51</v>
      </c>
      <c r="C84" s="27"/>
      <c r="D84" s="28">
        <v>46130</v>
      </c>
      <c r="E84" s="28">
        <v>46159</v>
      </c>
      <c r="F84" s="13">
        <f t="shared" si="16"/>
        <v>30</v>
      </c>
      <c r="G84" s="13">
        <v>300</v>
      </c>
      <c r="H84" s="41">
        <v>550</v>
      </c>
      <c r="I84" s="52">
        <f t="shared" si="17"/>
        <v>6.1111111111111109E-2</v>
      </c>
      <c r="J84" s="30" t="str">
        <f t="shared" si="18"/>
        <v/>
      </c>
      <c r="K84" s="24" t="b">
        <f>FALSE()</f>
        <v>0</v>
      </c>
      <c r="L84" s="26" t="str">
        <f t="shared" si="19"/>
        <v/>
      </c>
      <c r="M84" s="26" t="b">
        <f>FALSE()</f>
        <v>0</v>
      </c>
      <c r="N84" s="30" t="str">
        <f t="shared" si="20"/>
        <v/>
      </c>
      <c r="O84" s="24" t="b">
        <f>FALSE()</f>
        <v>0</v>
      </c>
      <c r="P84" s="25">
        <f t="shared" si="21"/>
        <v>6.1111111111111109E-2</v>
      </c>
      <c r="Q84" s="26" t="b">
        <f>TRUE()</f>
        <v>1</v>
      </c>
      <c r="R84" s="30" t="str">
        <f t="shared" si="22"/>
        <v/>
      </c>
      <c r="S84" s="24" t="b">
        <f>FALSE()</f>
        <v>0</v>
      </c>
      <c r="T84" s="26" t="str">
        <f t="shared" si="23"/>
        <v/>
      </c>
      <c r="U84" s="24" t="b">
        <f>FALSE()</f>
        <v>0</v>
      </c>
      <c r="V84" s="26"/>
      <c r="W84" s="24" t="b">
        <f>FALSE()</f>
        <v>0</v>
      </c>
      <c r="X84" s="26"/>
      <c r="Y84" s="24" t="b">
        <f>FALSE()</f>
        <v>0</v>
      </c>
    </row>
    <row r="85" spans="1:32" ht="14" x14ac:dyDescent="0.3">
      <c r="A85" s="10">
        <v>81</v>
      </c>
      <c r="B85" s="27" t="s">
        <v>62</v>
      </c>
      <c r="C85" s="27" t="s">
        <v>124</v>
      </c>
      <c r="D85" s="28">
        <v>46132</v>
      </c>
      <c r="E85" s="28">
        <v>46142</v>
      </c>
      <c r="F85" s="13">
        <f t="shared" si="16"/>
        <v>11</v>
      </c>
      <c r="G85" s="13">
        <v>300</v>
      </c>
      <c r="H85" s="41">
        <v>0</v>
      </c>
      <c r="I85" s="52">
        <f t="shared" si="17"/>
        <v>0</v>
      </c>
      <c r="J85" s="31">
        <f t="shared" si="18"/>
        <v>0</v>
      </c>
      <c r="K85" s="18" t="b">
        <f>TRUE()</f>
        <v>1</v>
      </c>
      <c r="L85" s="29">
        <f t="shared" si="19"/>
        <v>0</v>
      </c>
      <c r="M85" s="19" t="b">
        <f>TRUE()</f>
        <v>1</v>
      </c>
      <c r="N85" s="31">
        <f t="shared" si="20"/>
        <v>0</v>
      </c>
      <c r="O85" s="18" t="b">
        <f>TRUE()</f>
        <v>1</v>
      </c>
      <c r="P85" s="29">
        <f t="shared" si="21"/>
        <v>0</v>
      </c>
      <c r="Q85" s="19" t="b">
        <f>TRUE()</f>
        <v>1</v>
      </c>
      <c r="R85" s="31">
        <f t="shared" si="22"/>
        <v>0</v>
      </c>
      <c r="S85" s="18" t="b">
        <f>TRUE()</f>
        <v>1</v>
      </c>
      <c r="T85" s="29">
        <f t="shared" si="23"/>
        <v>0</v>
      </c>
      <c r="U85" s="18" t="b">
        <f>TRUE()</f>
        <v>1</v>
      </c>
      <c r="V85" s="19"/>
      <c r="W85" s="18" t="b">
        <f>FALSE()</f>
        <v>0</v>
      </c>
      <c r="X85" s="19"/>
      <c r="Y85" s="18" t="b">
        <f>FALSE()</f>
        <v>0</v>
      </c>
      <c r="Z85" s="54"/>
      <c r="AA85" s="54"/>
      <c r="AB85" s="54"/>
      <c r="AC85" s="54"/>
      <c r="AD85" s="54"/>
      <c r="AE85" s="54"/>
      <c r="AF85" s="54"/>
    </row>
    <row r="86" spans="1:32" ht="14" x14ac:dyDescent="0.25">
      <c r="A86" s="10">
        <v>82</v>
      </c>
      <c r="B86" s="27" t="s">
        <v>125</v>
      </c>
      <c r="C86" s="27"/>
      <c r="D86" s="28">
        <v>46143</v>
      </c>
      <c r="E86" s="28">
        <v>46173</v>
      </c>
      <c r="F86" s="13">
        <f t="shared" si="16"/>
        <v>31</v>
      </c>
      <c r="G86" s="13">
        <v>900</v>
      </c>
      <c r="H86" s="41">
        <v>1200</v>
      </c>
      <c r="I86" s="52">
        <f t="shared" si="17"/>
        <v>4.3010752688172046E-2</v>
      </c>
      <c r="J86" s="23">
        <f t="shared" si="18"/>
        <v>4.3010752688172046E-2</v>
      </c>
      <c r="K86" s="24" t="b">
        <f>TRUE()</f>
        <v>1</v>
      </c>
      <c r="L86" s="26" t="str">
        <f t="shared" si="19"/>
        <v/>
      </c>
      <c r="M86" s="26" t="b">
        <f>FALSE()</f>
        <v>0</v>
      </c>
      <c r="N86" s="30" t="str">
        <f t="shared" si="20"/>
        <v/>
      </c>
      <c r="O86" s="24" t="b">
        <f>FALSE()</f>
        <v>0</v>
      </c>
      <c r="P86" s="25">
        <f t="shared" si="21"/>
        <v>4.3010752688172046E-2</v>
      </c>
      <c r="Q86" s="26" t="b">
        <f>TRUE()</f>
        <v>1</v>
      </c>
      <c r="R86" s="30" t="str">
        <f t="shared" si="22"/>
        <v/>
      </c>
      <c r="S86" s="24" t="b">
        <f>FALSE()</f>
        <v>0</v>
      </c>
      <c r="T86" s="26" t="str">
        <f t="shared" si="23"/>
        <v/>
      </c>
      <c r="U86" s="24" t="b">
        <f>FALSE()</f>
        <v>0</v>
      </c>
      <c r="V86" s="26"/>
      <c r="W86" s="24" t="b">
        <f>FALSE()</f>
        <v>0</v>
      </c>
      <c r="X86" s="26"/>
      <c r="Y86" s="24" t="b">
        <f>FALSE()</f>
        <v>0</v>
      </c>
    </row>
    <row r="87" spans="1:32" ht="14" x14ac:dyDescent="0.25">
      <c r="A87" s="10">
        <v>83</v>
      </c>
      <c r="B87" s="27" t="s">
        <v>108</v>
      </c>
      <c r="C87" s="27"/>
      <c r="D87" s="28">
        <v>46143</v>
      </c>
      <c r="E87" s="28">
        <v>46173</v>
      </c>
      <c r="F87" s="13">
        <f t="shared" si="16"/>
        <v>31</v>
      </c>
      <c r="G87" s="13">
        <v>450</v>
      </c>
      <c r="H87" s="41">
        <v>600</v>
      </c>
      <c r="I87" s="52">
        <f t="shared" si="17"/>
        <v>4.3010752688172046E-2</v>
      </c>
      <c r="J87" s="17" t="str">
        <f t="shared" si="18"/>
        <v/>
      </c>
      <c r="K87" s="18" t="b">
        <f>FALSE()</f>
        <v>0</v>
      </c>
      <c r="L87" s="19" t="str">
        <f t="shared" si="19"/>
        <v/>
      </c>
      <c r="M87" s="19" t="b">
        <f>FALSE()</f>
        <v>0</v>
      </c>
      <c r="N87" s="17" t="str">
        <f t="shared" si="20"/>
        <v/>
      </c>
      <c r="O87" s="18" t="b">
        <f>FALSE()</f>
        <v>0</v>
      </c>
      <c r="P87" s="19" t="str">
        <f t="shared" si="21"/>
        <v/>
      </c>
      <c r="Q87" s="19" t="b">
        <f>FALSE()</f>
        <v>0</v>
      </c>
      <c r="R87" s="17" t="str">
        <f t="shared" si="22"/>
        <v/>
      </c>
      <c r="S87" s="18" t="b">
        <f>FALSE()</f>
        <v>0</v>
      </c>
      <c r="T87" s="29">
        <f t="shared" si="23"/>
        <v>4.3010752688172046E-2</v>
      </c>
      <c r="U87" s="18" t="b">
        <f>TRUE()</f>
        <v>1</v>
      </c>
      <c r="V87" s="19"/>
      <c r="W87" s="18" t="b">
        <f>FALSE()</f>
        <v>0</v>
      </c>
      <c r="X87" s="19"/>
      <c r="Y87" s="18" t="b">
        <f>FALSE()</f>
        <v>0</v>
      </c>
    </row>
    <row r="88" spans="1:32" ht="14" x14ac:dyDescent="0.25">
      <c r="A88" s="10">
        <v>84</v>
      </c>
      <c r="B88" s="27" t="s">
        <v>33</v>
      </c>
      <c r="C88" s="27"/>
      <c r="D88" s="28">
        <v>46143</v>
      </c>
      <c r="E88" s="28">
        <v>46173</v>
      </c>
      <c r="F88" s="13">
        <f t="shared" si="16"/>
        <v>31</v>
      </c>
      <c r="G88" s="13">
        <v>600</v>
      </c>
      <c r="H88" s="41">
        <v>1100</v>
      </c>
      <c r="I88" s="52">
        <f t="shared" si="17"/>
        <v>5.9139784946236562E-2</v>
      </c>
      <c r="J88" s="30" t="str">
        <f t="shared" si="18"/>
        <v/>
      </c>
      <c r="K88" s="24" t="b">
        <f>FALSE()</f>
        <v>0</v>
      </c>
      <c r="L88" s="26" t="str">
        <f t="shared" si="19"/>
        <v/>
      </c>
      <c r="M88" s="26" t="b">
        <f>FALSE()</f>
        <v>0</v>
      </c>
      <c r="N88" s="30" t="str">
        <f t="shared" si="20"/>
        <v/>
      </c>
      <c r="O88" s="24" t="b">
        <f>FALSE()</f>
        <v>0</v>
      </c>
      <c r="P88" s="25">
        <f t="shared" si="21"/>
        <v>5.9139784946236562E-2</v>
      </c>
      <c r="Q88" s="26" t="b">
        <f>TRUE()</f>
        <v>1</v>
      </c>
      <c r="R88" s="23">
        <f t="shared" si="22"/>
        <v>5.9139784946236562E-2</v>
      </c>
      <c r="S88" s="24" t="b">
        <f>TRUE()</f>
        <v>1</v>
      </c>
      <c r="T88" s="26" t="str">
        <f t="shared" si="23"/>
        <v/>
      </c>
      <c r="U88" s="24" t="b">
        <f>FALSE()</f>
        <v>0</v>
      </c>
      <c r="V88" s="26"/>
      <c r="W88" s="24" t="b">
        <f>FALSE()</f>
        <v>0</v>
      </c>
      <c r="X88" s="26"/>
      <c r="Y88" s="24" t="b">
        <f>FALSE()</f>
        <v>0</v>
      </c>
    </row>
    <row r="89" spans="1:32" ht="14" x14ac:dyDescent="0.25">
      <c r="A89" s="10">
        <v>85</v>
      </c>
      <c r="B89" s="27" t="s">
        <v>126</v>
      </c>
      <c r="C89" s="27"/>
      <c r="D89" s="28">
        <v>46143</v>
      </c>
      <c r="E89" s="28">
        <v>46173</v>
      </c>
      <c r="F89" s="13">
        <f t="shared" si="16"/>
        <v>31</v>
      </c>
      <c r="G89" s="13">
        <v>300</v>
      </c>
      <c r="H89" s="41">
        <v>550</v>
      </c>
      <c r="I89" s="52">
        <f t="shared" si="17"/>
        <v>5.9139784946236562E-2</v>
      </c>
      <c r="J89" s="31">
        <f t="shared" si="18"/>
        <v>5.9139784946236562E-2</v>
      </c>
      <c r="K89" s="18" t="b">
        <f>TRUE()</f>
        <v>1</v>
      </c>
      <c r="L89" s="19" t="str">
        <f t="shared" si="19"/>
        <v/>
      </c>
      <c r="M89" s="19" t="b">
        <f>FALSE()</f>
        <v>0</v>
      </c>
      <c r="N89" s="17" t="str">
        <f t="shared" si="20"/>
        <v/>
      </c>
      <c r="O89" s="18" t="b">
        <f>FALSE()</f>
        <v>0</v>
      </c>
      <c r="P89" s="19" t="str">
        <f t="shared" si="21"/>
        <v/>
      </c>
      <c r="Q89" s="19" t="b">
        <f>FALSE()</f>
        <v>0</v>
      </c>
      <c r="R89" s="17" t="str">
        <f t="shared" si="22"/>
        <v/>
      </c>
      <c r="S89" s="18" t="b">
        <f>FALSE()</f>
        <v>0</v>
      </c>
      <c r="T89" s="19" t="str">
        <f t="shared" si="23"/>
        <v/>
      </c>
      <c r="U89" s="18" t="b">
        <f>FALSE()</f>
        <v>0</v>
      </c>
      <c r="V89" s="19"/>
      <c r="W89" s="18" t="b">
        <f>FALSE()</f>
        <v>0</v>
      </c>
      <c r="X89" s="19"/>
      <c r="Y89" s="18" t="b">
        <f>FALSE()</f>
        <v>0</v>
      </c>
    </row>
    <row r="90" spans="1:32" ht="14" x14ac:dyDescent="0.25">
      <c r="A90" s="10">
        <v>86</v>
      </c>
      <c r="B90" s="27" t="s">
        <v>127</v>
      </c>
      <c r="C90" s="27" t="s">
        <v>128</v>
      </c>
      <c r="D90" s="28">
        <v>46139</v>
      </c>
      <c r="E90" s="28">
        <v>46168</v>
      </c>
      <c r="F90" s="13">
        <f t="shared" si="16"/>
        <v>30</v>
      </c>
      <c r="G90" s="13">
        <v>900</v>
      </c>
      <c r="H90" s="41">
        <v>1360</v>
      </c>
      <c r="I90" s="52">
        <f t="shared" si="17"/>
        <v>5.0370370370370371E-2</v>
      </c>
      <c r="J90" s="23">
        <f t="shared" si="18"/>
        <v>5.0370370370370371E-2</v>
      </c>
      <c r="K90" s="24" t="b">
        <f>TRUE()</f>
        <v>1</v>
      </c>
      <c r="L90" s="26" t="str">
        <f t="shared" si="19"/>
        <v/>
      </c>
      <c r="M90" s="26" t="b">
        <f>FALSE()</f>
        <v>0</v>
      </c>
      <c r="N90" s="30" t="str">
        <f t="shared" si="20"/>
        <v/>
      </c>
      <c r="O90" s="24" t="b">
        <f>FALSE()</f>
        <v>0</v>
      </c>
      <c r="P90" s="26" t="str">
        <f t="shared" si="21"/>
        <v/>
      </c>
      <c r="Q90" s="26" t="b">
        <f>FALSE()</f>
        <v>0</v>
      </c>
      <c r="R90" s="23">
        <f t="shared" si="22"/>
        <v>5.0370370370370371E-2</v>
      </c>
      <c r="S90" s="24" t="b">
        <f>TRUE()</f>
        <v>1</v>
      </c>
      <c r="T90" s="26" t="str">
        <f t="shared" si="23"/>
        <v/>
      </c>
      <c r="U90" s="24" t="b">
        <f>FALSE()</f>
        <v>0</v>
      </c>
      <c r="V90" s="26"/>
      <c r="W90" s="24" t="b">
        <f>FALSE()</f>
        <v>0</v>
      </c>
      <c r="X90" s="26"/>
      <c r="Y90" s="24" t="b">
        <f>FALSE()</f>
        <v>0</v>
      </c>
    </row>
    <row r="91" spans="1:32" ht="14" x14ac:dyDescent="0.25">
      <c r="A91" s="10">
        <v>87</v>
      </c>
      <c r="B91" s="27" t="s">
        <v>37</v>
      </c>
      <c r="C91" s="27" t="s">
        <v>129</v>
      </c>
      <c r="D91" s="28">
        <v>46139</v>
      </c>
      <c r="E91" s="28">
        <v>46142</v>
      </c>
      <c r="F91" s="13">
        <f t="shared" si="16"/>
        <v>4</v>
      </c>
      <c r="G91" s="13">
        <v>900</v>
      </c>
      <c r="H91" s="41">
        <v>180</v>
      </c>
      <c r="I91" s="52">
        <f t="shared" si="17"/>
        <v>0.05</v>
      </c>
      <c r="J91" s="17" t="str">
        <f t="shared" si="18"/>
        <v/>
      </c>
      <c r="K91" s="18" t="b">
        <f>FALSE()</f>
        <v>0</v>
      </c>
      <c r="L91" s="19" t="str">
        <f t="shared" si="19"/>
        <v/>
      </c>
      <c r="M91" s="19" t="b">
        <f>FALSE()</f>
        <v>0</v>
      </c>
      <c r="N91" s="31">
        <f t="shared" si="20"/>
        <v>0.05</v>
      </c>
      <c r="O91" s="18" t="b">
        <f>TRUE()</f>
        <v>1</v>
      </c>
      <c r="P91" s="19" t="str">
        <f t="shared" si="21"/>
        <v/>
      </c>
      <c r="Q91" s="19" t="b">
        <f>FALSE()</f>
        <v>0</v>
      </c>
      <c r="R91" s="17" t="str">
        <f t="shared" si="22"/>
        <v/>
      </c>
      <c r="S91" s="18" t="b">
        <f>FALSE()</f>
        <v>0</v>
      </c>
      <c r="T91" s="19" t="str">
        <f t="shared" si="23"/>
        <v/>
      </c>
      <c r="U91" s="18" t="b">
        <f>FALSE()</f>
        <v>0</v>
      </c>
      <c r="V91" s="19"/>
      <c r="W91" s="18" t="b">
        <f>FALSE()</f>
        <v>0</v>
      </c>
      <c r="X91" s="19"/>
      <c r="Y91" s="18" t="b">
        <f>FALSE()</f>
        <v>0</v>
      </c>
    </row>
    <row r="92" spans="1:32" ht="14" x14ac:dyDescent="0.25">
      <c r="A92" s="10">
        <v>88</v>
      </c>
      <c r="B92" s="27" t="s">
        <v>37</v>
      </c>
      <c r="C92" s="27" t="s">
        <v>129</v>
      </c>
      <c r="D92" s="28">
        <v>46143</v>
      </c>
      <c r="E92" s="28">
        <v>46153</v>
      </c>
      <c r="F92" s="13">
        <f t="shared" si="16"/>
        <v>11</v>
      </c>
      <c r="G92" s="13">
        <v>450</v>
      </c>
      <c r="H92" s="41">
        <v>247.5</v>
      </c>
      <c r="I92" s="52">
        <f t="shared" si="17"/>
        <v>0.05</v>
      </c>
      <c r="J92" s="30" t="str">
        <f t="shared" si="18"/>
        <v/>
      </c>
      <c r="K92" s="24" t="b">
        <f>FALSE()</f>
        <v>0</v>
      </c>
      <c r="L92" s="26" t="str">
        <f t="shared" si="19"/>
        <v/>
      </c>
      <c r="M92" s="26" t="b">
        <f>FALSE()</f>
        <v>0</v>
      </c>
      <c r="N92" s="23">
        <f t="shared" si="20"/>
        <v>0.05</v>
      </c>
      <c r="O92" s="24" t="b">
        <f>TRUE()</f>
        <v>1</v>
      </c>
      <c r="P92" s="26" t="str">
        <f t="shared" si="21"/>
        <v/>
      </c>
      <c r="Q92" s="26" t="b">
        <f>FALSE()</f>
        <v>0</v>
      </c>
      <c r="R92" s="30" t="str">
        <f t="shared" si="22"/>
        <v/>
      </c>
      <c r="S92" s="24" t="b">
        <f>FALSE()</f>
        <v>0</v>
      </c>
      <c r="T92" s="26" t="str">
        <f t="shared" si="23"/>
        <v/>
      </c>
      <c r="U92" s="24" t="b">
        <f>FALSE()</f>
        <v>0</v>
      </c>
      <c r="V92" s="26"/>
      <c r="W92" s="24" t="b">
        <f>FALSE()</f>
        <v>0</v>
      </c>
      <c r="X92" s="26"/>
      <c r="Y92" s="24" t="b">
        <f>FALSE()</f>
        <v>0</v>
      </c>
    </row>
    <row r="93" spans="1:32" ht="14" x14ac:dyDescent="0.25">
      <c r="A93" s="10">
        <v>89</v>
      </c>
      <c r="B93" s="27" t="s">
        <v>37</v>
      </c>
      <c r="C93" s="27" t="s">
        <v>129</v>
      </c>
      <c r="D93" s="28">
        <v>46154</v>
      </c>
      <c r="E93" s="28">
        <v>46168</v>
      </c>
      <c r="F93" s="13">
        <f t="shared" si="16"/>
        <v>15</v>
      </c>
      <c r="G93" s="13">
        <v>450</v>
      </c>
      <c r="H93" s="41">
        <v>337.5</v>
      </c>
      <c r="I93" s="52">
        <f t="shared" si="17"/>
        <v>0.05</v>
      </c>
      <c r="J93" s="17" t="str">
        <f t="shared" si="18"/>
        <v/>
      </c>
      <c r="K93" s="18" t="b">
        <f>FALSE()</f>
        <v>0</v>
      </c>
      <c r="L93" s="19" t="str">
        <f t="shared" si="19"/>
        <v/>
      </c>
      <c r="M93" s="19" t="b">
        <f>FALSE()</f>
        <v>0</v>
      </c>
      <c r="N93" s="17" t="str">
        <f t="shared" si="20"/>
        <v/>
      </c>
      <c r="O93" s="18" t="b">
        <f>FALSE()</f>
        <v>0</v>
      </c>
      <c r="P93" s="19" t="str">
        <f t="shared" si="21"/>
        <v/>
      </c>
      <c r="Q93" s="19" t="b">
        <f>FALSE()</f>
        <v>0</v>
      </c>
      <c r="R93" s="31">
        <f t="shared" si="22"/>
        <v>0.05</v>
      </c>
      <c r="S93" s="18" t="b">
        <f>TRUE()</f>
        <v>1</v>
      </c>
      <c r="T93" s="19" t="str">
        <f t="shared" si="23"/>
        <v/>
      </c>
      <c r="U93" s="18" t="b">
        <f>FALSE()</f>
        <v>0</v>
      </c>
      <c r="V93" s="19"/>
      <c r="W93" s="18" t="b">
        <f>FALSE()</f>
        <v>0</v>
      </c>
      <c r="X93" s="19"/>
      <c r="Y93" s="18" t="b">
        <f>FALSE()</f>
        <v>0</v>
      </c>
    </row>
    <row r="94" spans="1:32" ht="14" x14ac:dyDescent="0.25">
      <c r="A94" s="10">
        <v>90</v>
      </c>
      <c r="B94" s="27" t="s">
        <v>19</v>
      </c>
      <c r="C94" s="27" t="s">
        <v>57</v>
      </c>
      <c r="D94" s="28">
        <v>46143</v>
      </c>
      <c r="E94" s="28">
        <v>46173</v>
      </c>
      <c r="F94" s="13">
        <f t="shared" si="16"/>
        <v>31</v>
      </c>
      <c r="G94" s="13">
        <v>900</v>
      </c>
      <c r="H94" s="41">
        <v>1200</v>
      </c>
      <c r="I94" s="52">
        <f t="shared" si="17"/>
        <v>4.3010752688172046E-2</v>
      </c>
      <c r="J94" s="30" t="str">
        <f t="shared" si="18"/>
        <v/>
      </c>
      <c r="K94" s="24" t="b">
        <f>FALSE()</f>
        <v>0</v>
      </c>
      <c r="L94" s="26" t="str">
        <f t="shared" si="19"/>
        <v/>
      </c>
      <c r="M94" s="26" t="b">
        <f>FALSE()</f>
        <v>0</v>
      </c>
      <c r="N94" s="30" t="str">
        <f t="shared" si="20"/>
        <v/>
      </c>
      <c r="O94" s="24" t="b">
        <f>FALSE()</f>
        <v>0</v>
      </c>
      <c r="P94" s="25">
        <f t="shared" si="21"/>
        <v>4.3010752688172046E-2</v>
      </c>
      <c r="Q94" s="26" t="b">
        <f>TRUE()</f>
        <v>1</v>
      </c>
      <c r="R94" s="30" t="str">
        <f t="shared" si="22"/>
        <v/>
      </c>
      <c r="S94" s="24" t="b">
        <f>FALSE()</f>
        <v>0</v>
      </c>
      <c r="T94" s="26" t="str">
        <f t="shared" si="23"/>
        <v/>
      </c>
      <c r="U94" s="24" t="b">
        <f>FALSE()</f>
        <v>0</v>
      </c>
      <c r="V94" s="26"/>
      <c r="W94" s="24" t="b">
        <f>FALSE()</f>
        <v>0</v>
      </c>
      <c r="X94" s="26"/>
      <c r="Y94" s="24" t="b">
        <f>FALSE()</f>
        <v>0</v>
      </c>
    </row>
    <row r="95" spans="1:32" ht="14" x14ac:dyDescent="0.25">
      <c r="A95" s="10">
        <v>91</v>
      </c>
      <c r="B95" s="27" t="s">
        <v>61</v>
      </c>
      <c r="C95" s="27" t="s">
        <v>130</v>
      </c>
      <c r="D95" s="28">
        <v>46139</v>
      </c>
      <c r="E95" s="28">
        <v>46229</v>
      </c>
      <c r="F95" s="13">
        <f t="shared" si="16"/>
        <v>91</v>
      </c>
      <c r="G95" s="13">
        <v>300</v>
      </c>
      <c r="H95" s="41">
        <v>2640</v>
      </c>
      <c r="I95" s="52">
        <f t="shared" si="17"/>
        <v>9.6703296703296707E-2</v>
      </c>
      <c r="J95" s="17" t="str">
        <f t="shared" si="18"/>
        <v/>
      </c>
      <c r="K95" s="18" t="b">
        <f>FALSE()</f>
        <v>0</v>
      </c>
      <c r="L95" s="19" t="str">
        <f t="shared" si="19"/>
        <v/>
      </c>
      <c r="M95" s="19" t="b">
        <f>FALSE()</f>
        <v>0</v>
      </c>
      <c r="N95" s="17" t="str">
        <f t="shared" si="20"/>
        <v/>
      </c>
      <c r="O95" s="18" t="b">
        <f>FALSE()</f>
        <v>0</v>
      </c>
      <c r="P95" s="29">
        <f t="shared" si="21"/>
        <v>9.6703296703296707E-2</v>
      </c>
      <c r="Q95" s="19" t="b">
        <f>TRUE()</f>
        <v>1</v>
      </c>
      <c r="R95" s="17" t="str">
        <f t="shared" si="22"/>
        <v/>
      </c>
      <c r="S95" s="18" t="b">
        <f>FALSE()</f>
        <v>0</v>
      </c>
      <c r="T95" s="19" t="str">
        <f t="shared" si="23"/>
        <v/>
      </c>
      <c r="U95" s="18" t="b">
        <f>FALSE()</f>
        <v>0</v>
      </c>
      <c r="V95" s="19"/>
      <c r="W95" s="18" t="b">
        <f>FALSE()</f>
        <v>0</v>
      </c>
      <c r="X95" s="19"/>
      <c r="Y95" s="18" t="b">
        <f>FALSE()</f>
        <v>0</v>
      </c>
    </row>
    <row r="96" spans="1:32" ht="14" x14ac:dyDescent="0.25">
      <c r="A96" s="10">
        <v>92</v>
      </c>
      <c r="B96" s="27" t="s">
        <v>98</v>
      </c>
      <c r="C96" s="27" t="s">
        <v>57</v>
      </c>
      <c r="D96" s="28">
        <v>46143</v>
      </c>
      <c r="E96" s="28">
        <v>46157</v>
      </c>
      <c r="F96" s="13">
        <f t="shared" si="16"/>
        <v>15</v>
      </c>
      <c r="G96" s="13">
        <v>900</v>
      </c>
      <c r="H96" s="41">
        <v>750</v>
      </c>
      <c r="I96" s="52">
        <f t="shared" si="17"/>
        <v>5.5555555555555552E-2</v>
      </c>
      <c r="J96" s="30" t="str">
        <f t="shared" si="18"/>
        <v/>
      </c>
      <c r="K96" s="24" t="b">
        <f>FALSE()</f>
        <v>0</v>
      </c>
      <c r="L96" s="25">
        <f t="shared" si="19"/>
        <v>5.5555555555555552E-2</v>
      </c>
      <c r="M96" s="26" t="b">
        <f>TRUE()</f>
        <v>1</v>
      </c>
      <c r="N96" s="23">
        <f t="shared" si="20"/>
        <v>5.5555555555555552E-2</v>
      </c>
      <c r="O96" s="24" t="b">
        <f>TRUE()</f>
        <v>1</v>
      </c>
      <c r="P96" s="26" t="str">
        <f t="shared" si="21"/>
        <v/>
      </c>
      <c r="Q96" s="26" t="b">
        <f>FALSE()</f>
        <v>0</v>
      </c>
      <c r="R96" s="30" t="str">
        <f t="shared" si="22"/>
        <v/>
      </c>
      <c r="S96" s="24" t="b">
        <f>FALSE()</f>
        <v>0</v>
      </c>
      <c r="T96" s="26" t="str">
        <f t="shared" si="23"/>
        <v/>
      </c>
      <c r="U96" s="24" t="b">
        <f>FALSE()</f>
        <v>0</v>
      </c>
      <c r="V96" s="26"/>
      <c r="W96" s="24" t="b">
        <f>FALSE()</f>
        <v>0</v>
      </c>
      <c r="X96" s="26"/>
      <c r="Y96" s="24" t="b">
        <f>FALSE()</f>
        <v>0</v>
      </c>
    </row>
    <row r="97" spans="1:32" ht="14" x14ac:dyDescent="0.25">
      <c r="A97" s="10">
        <v>93</v>
      </c>
      <c r="B97" s="27" t="s">
        <v>98</v>
      </c>
      <c r="C97" s="27" t="s">
        <v>57</v>
      </c>
      <c r="D97" s="28">
        <v>46158</v>
      </c>
      <c r="E97" s="28">
        <v>46173</v>
      </c>
      <c r="F97" s="13">
        <f t="shared" si="16"/>
        <v>16</v>
      </c>
      <c r="G97" s="13">
        <v>900</v>
      </c>
      <c r="H97" s="41">
        <v>750</v>
      </c>
      <c r="I97" s="52">
        <f t="shared" si="17"/>
        <v>5.2083333333333336E-2</v>
      </c>
      <c r="J97" s="17" t="str">
        <f t="shared" si="18"/>
        <v/>
      </c>
      <c r="K97" s="18" t="b">
        <f>FALSE()</f>
        <v>0</v>
      </c>
      <c r="L97" s="19" t="str">
        <f t="shared" si="19"/>
        <v/>
      </c>
      <c r="M97" s="19" t="b">
        <f>FALSE()</f>
        <v>0</v>
      </c>
      <c r="N97" s="17" t="str">
        <f t="shared" si="20"/>
        <v/>
      </c>
      <c r="O97" s="18" t="b">
        <f>FALSE()</f>
        <v>0</v>
      </c>
      <c r="P97" s="29">
        <f t="shared" si="21"/>
        <v>5.2083333333333336E-2</v>
      </c>
      <c r="Q97" s="19" t="b">
        <f>TRUE()</f>
        <v>1</v>
      </c>
      <c r="R97" s="31">
        <f t="shared" si="22"/>
        <v>5.2083333333333336E-2</v>
      </c>
      <c r="S97" s="18" t="b">
        <f>TRUE()</f>
        <v>1</v>
      </c>
      <c r="T97" s="19" t="str">
        <f t="shared" si="23"/>
        <v/>
      </c>
      <c r="U97" s="18" t="b">
        <f>FALSE()</f>
        <v>0</v>
      </c>
      <c r="V97" s="19"/>
      <c r="W97" s="18" t="b">
        <f>FALSE()</f>
        <v>0</v>
      </c>
      <c r="X97" s="19"/>
      <c r="Y97" s="18" t="b">
        <f>FALSE()</f>
        <v>0</v>
      </c>
    </row>
    <row r="98" spans="1:32" ht="14" x14ac:dyDescent="0.3">
      <c r="A98" s="10">
        <v>94</v>
      </c>
      <c r="B98" s="27" t="s">
        <v>62</v>
      </c>
      <c r="C98" s="27" t="s">
        <v>131</v>
      </c>
      <c r="D98" s="28">
        <v>46141</v>
      </c>
      <c r="E98" s="28">
        <v>46173</v>
      </c>
      <c r="F98" s="13">
        <f t="shared" si="16"/>
        <v>33</v>
      </c>
      <c r="G98" s="13">
        <v>1800</v>
      </c>
      <c r="H98" s="41">
        <v>0</v>
      </c>
      <c r="I98" s="52">
        <f t="shared" si="17"/>
        <v>0</v>
      </c>
      <c r="J98" s="23">
        <f t="shared" si="18"/>
        <v>0</v>
      </c>
      <c r="K98" s="24" t="b">
        <f>TRUE()</f>
        <v>1</v>
      </c>
      <c r="L98" s="25">
        <f t="shared" si="19"/>
        <v>0</v>
      </c>
      <c r="M98" s="26" t="b">
        <f>TRUE()</f>
        <v>1</v>
      </c>
      <c r="N98" s="23">
        <f t="shared" si="20"/>
        <v>0</v>
      </c>
      <c r="O98" s="24" t="b">
        <f>TRUE()</f>
        <v>1</v>
      </c>
      <c r="P98" s="25">
        <f t="shared" si="21"/>
        <v>0</v>
      </c>
      <c r="Q98" s="26" t="b">
        <f>TRUE()</f>
        <v>1</v>
      </c>
      <c r="R98" s="23">
        <f t="shared" si="22"/>
        <v>0</v>
      </c>
      <c r="S98" s="24" t="b">
        <f>TRUE()</f>
        <v>1</v>
      </c>
      <c r="T98" s="25">
        <f t="shared" si="23"/>
        <v>0</v>
      </c>
      <c r="U98" s="24" t="b">
        <f>TRUE()</f>
        <v>1</v>
      </c>
      <c r="V98" s="26"/>
      <c r="W98" s="24" t="b">
        <f>FALSE()</f>
        <v>0</v>
      </c>
      <c r="X98" s="26"/>
      <c r="Y98" s="24" t="b">
        <f>FALSE()</f>
        <v>0</v>
      </c>
      <c r="Z98" s="54"/>
      <c r="AA98" s="54"/>
      <c r="AB98" s="54"/>
      <c r="AC98" s="54"/>
      <c r="AD98" s="54"/>
      <c r="AE98" s="54"/>
      <c r="AF98" s="54"/>
    </row>
    <row r="99" spans="1:32" ht="14" x14ac:dyDescent="0.3">
      <c r="A99" s="10">
        <v>95</v>
      </c>
      <c r="B99" s="27" t="s">
        <v>98</v>
      </c>
      <c r="C99" s="27" t="s">
        <v>57</v>
      </c>
      <c r="D99" s="28">
        <v>46143</v>
      </c>
      <c r="E99" s="28">
        <v>46173</v>
      </c>
      <c r="F99" s="13">
        <f t="shared" si="16"/>
        <v>31</v>
      </c>
      <c r="G99" s="13">
        <v>300</v>
      </c>
      <c r="H99" s="41">
        <v>0</v>
      </c>
      <c r="I99" s="52">
        <f t="shared" si="17"/>
        <v>0</v>
      </c>
      <c r="J99" s="17" t="str">
        <f t="shared" si="18"/>
        <v/>
      </c>
      <c r="K99" s="18" t="b">
        <f>FALSE()</f>
        <v>0</v>
      </c>
      <c r="L99" s="19" t="str">
        <f t="shared" si="19"/>
        <v/>
      </c>
      <c r="M99" s="19" t="b">
        <f>FALSE()</f>
        <v>0</v>
      </c>
      <c r="N99" s="17" t="str">
        <f t="shared" si="20"/>
        <v/>
      </c>
      <c r="O99" s="18" t="b">
        <f>FALSE()</f>
        <v>0</v>
      </c>
      <c r="P99" s="19" t="str">
        <f t="shared" si="21"/>
        <v/>
      </c>
      <c r="Q99" s="19" t="b">
        <f>FALSE()</f>
        <v>0</v>
      </c>
      <c r="R99" s="17" t="str">
        <f t="shared" si="22"/>
        <v/>
      </c>
      <c r="S99" s="18" t="b">
        <f>FALSE()</f>
        <v>0</v>
      </c>
      <c r="T99" s="29">
        <f t="shared" si="23"/>
        <v>0</v>
      </c>
      <c r="U99" s="18" t="b">
        <f>TRUE()</f>
        <v>1</v>
      </c>
      <c r="V99" s="19"/>
      <c r="W99" s="18" t="b">
        <f>FALSE()</f>
        <v>0</v>
      </c>
      <c r="X99" s="19"/>
      <c r="Y99" s="18" t="b">
        <f>FALSE()</f>
        <v>0</v>
      </c>
      <c r="Z99" s="54"/>
      <c r="AA99" s="54"/>
      <c r="AB99" s="54"/>
      <c r="AC99" s="54"/>
      <c r="AD99" s="54"/>
      <c r="AE99" s="54"/>
      <c r="AF99" s="54"/>
    </row>
    <row r="100" spans="1:32" ht="14" x14ac:dyDescent="0.25">
      <c r="A100" s="10">
        <v>96</v>
      </c>
      <c r="B100" s="27" t="s">
        <v>132</v>
      </c>
      <c r="C100" s="27" t="s">
        <v>57</v>
      </c>
      <c r="D100" s="28">
        <v>46142</v>
      </c>
      <c r="E100" s="28">
        <v>46171</v>
      </c>
      <c r="F100" s="13">
        <f t="shared" ref="F100:F131" si="24">(E100-D100)+1</f>
        <v>30</v>
      </c>
      <c r="G100" s="13">
        <v>1800</v>
      </c>
      <c r="H100" s="41">
        <v>3240</v>
      </c>
      <c r="I100" s="52">
        <f t="shared" si="17"/>
        <v>0.06</v>
      </c>
      <c r="J100" s="30" t="str">
        <f t="shared" si="18"/>
        <v/>
      </c>
      <c r="K100" s="24" t="b">
        <f>FALSE()</f>
        <v>0</v>
      </c>
      <c r="L100" s="25">
        <f t="shared" si="19"/>
        <v>0.06</v>
      </c>
      <c r="M100" s="26" t="b">
        <f>TRUE()</f>
        <v>1</v>
      </c>
      <c r="N100" s="23">
        <f t="shared" si="20"/>
        <v>0.06</v>
      </c>
      <c r="O100" s="24" t="b">
        <f>TRUE()</f>
        <v>1</v>
      </c>
      <c r="P100" s="25">
        <f t="shared" si="21"/>
        <v>0.06</v>
      </c>
      <c r="Q100" s="26" t="b">
        <f>TRUE()</f>
        <v>1</v>
      </c>
      <c r="R100" s="23">
        <f t="shared" si="22"/>
        <v>0.06</v>
      </c>
      <c r="S100" s="24" t="b">
        <f>TRUE()</f>
        <v>1</v>
      </c>
      <c r="T100" s="26" t="str">
        <f t="shared" si="23"/>
        <v/>
      </c>
      <c r="U100" s="24" t="b">
        <f>FALSE()</f>
        <v>0</v>
      </c>
      <c r="V100" s="26"/>
      <c r="W100" s="24" t="b">
        <f>FALSE()</f>
        <v>0</v>
      </c>
      <c r="X100" s="26"/>
      <c r="Y100" s="24" t="b">
        <f>FALSE()</f>
        <v>0</v>
      </c>
    </row>
    <row r="101" spans="1:32" ht="14" x14ac:dyDescent="0.3">
      <c r="A101" s="10">
        <v>97</v>
      </c>
      <c r="B101" s="27" t="s">
        <v>133</v>
      </c>
      <c r="C101" s="27" t="s">
        <v>134</v>
      </c>
      <c r="D101" s="28">
        <v>46143</v>
      </c>
      <c r="E101" s="28">
        <v>46144</v>
      </c>
      <c r="F101" s="13">
        <f t="shared" si="24"/>
        <v>2</v>
      </c>
      <c r="G101" s="13">
        <v>5400</v>
      </c>
      <c r="H101" s="41">
        <v>0</v>
      </c>
      <c r="I101" s="52">
        <f t="shared" ref="I101:I132" si="25">IFERROR(H101/(F101*G101),"")</f>
        <v>0</v>
      </c>
      <c r="J101" s="31">
        <f t="shared" ref="J101:J132" si="26">IF(K101=TRUE(),$I101,"")</f>
        <v>0</v>
      </c>
      <c r="K101" s="18" t="b">
        <f>TRUE()</f>
        <v>1</v>
      </c>
      <c r="L101" s="29">
        <f t="shared" ref="L101:L132" si="27">IF(M101=TRUE(),$I101,"")</f>
        <v>0</v>
      </c>
      <c r="M101" s="19" t="b">
        <f>TRUE()</f>
        <v>1</v>
      </c>
      <c r="N101" s="31">
        <f t="shared" ref="N101:N132" si="28">IF(O101=TRUE(),$I101,"")</f>
        <v>0</v>
      </c>
      <c r="O101" s="18" t="b">
        <f>TRUE()</f>
        <v>1</v>
      </c>
      <c r="P101" s="29">
        <f t="shared" ref="P101:P132" si="29">IF(Q101=TRUE(),$I101,"")</f>
        <v>0</v>
      </c>
      <c r="Q101" s="19" t="b">
        <f>TRUE()</f>
        <v>1</v>
      </c>
      <c r="R101" s="31">
        <f t="shared" ref="R101:R132" si="30">IF(S101=TRUE(),$I101,"")</f>
        <v>0</v>
      </c>
      <c r="S101" s="18" t="b">
        <f>TRUE()</f>
        <v>1</v>
      </c>
      <c r="T101" s="29">
        <f t="shared" ref="T101:T132" si="31">IF(U101=TRUE(),$I101,"")</f>
        <v>0</v>
      </c>
      <c r="U101" s="18" t="b">
        <f>TRUE()</f>
        <v>1</v>
      </c>
      <c r="V101" s="19"/>
      <c r="W101" s="18" t="b">
        <f>FALSE()</f>
        <v>0</v>
      </c>
      <c r="X101" s="19"/>
      <c r="Y101" s="18" t="b">
        <f>FALSE()</f>
        <v>0</v>
      </c>
      <c r="Z101" s="54"/>
      <c r="AA101" s="54"/>
      <c r="AB101" s="54"/>
      <c r="AC101" s="54"/>
      <c r="AD101" s="54"/>
      <c r="AE101" s="54"/>
      <c r="AF101" s="54"/>
    </row>
    <row r="102" spans="1:32" ht="14" x14ac:dyDescent="0.25">
      <c r="A102" s="10">
        <v>98</v>
      </c>
      <c r="B102" s="27" t="s">
        <v>135</v>
      </c>
      <c r="C102" s="27" t="s">
        <v>136</v>
      </c>
      <c r="D102" s="28">
        <v>46142</v>
      </c>
      <c r="E102" s="28">
        <v>46171</v>
      </c>
      <c r="F102" s="13">
        <f t="shared" si="24"/>
        <v>30</v>
      </c>
      <c r="G102" s="13">
        <v>900</v>
      </c>
      <c r="H102" s="41">
        <v>1500</v>
      </c>
      <c r="I102" s="52">
        <f t="shared" si="25"/>
        <v>5.5555555555555552E-2</v>
      </c>
      <c r="J102" s="23">
        <f t="shared" si="26"/>
        <v>5.5555555555555552E-2</v>
      </c>
      <c r="K102" s="24" t="b">
        <f>TRUE()</f>
        <v>1</v>
      </c>
      <c r="L102" s="26" t="str">
        <f t="shared" si="27"/>
        <v/>
      </c>
      <c r="M102" s="26" t="b">
        <f>FALSE()</f>
        <v>0</v>
      </c>
      <c r="N102" s="30" t="str">
        <f t="shared" si="28"/>
        <v/>
      </c>
      <c r="O102" s="24" t="b">
        <f>FALSE()</f>
        <v>0</v>
      </c>
      <c r="P102" s="26" t="str">
        <f t="shared" si="29"/>
        <v/>
      </c>
      <c r="Q102" s="26" t="b">
        <f>FALSE()</f>
        <v>0</v>
      </c>
      <c r="R102" s="30" t="str">
        <f t="shared" si="30"/>
        <v/>
      </c>
      <c r="S102" s="24" t="b">
        <f>FALSE()</f>
        <v>0</v>
      </c>
      <c r="T102" s="26" t="str">
        <f t="shared" si="31"/>
        <v/>
      </c>
      <c r="U102" s="24" t="b">
        <f>FALSE()</f>
        <v>0</v>
      </c>
      <c r="V102" s="26"/>
      <c r="W102" s="24" t="b">
        <f>FALSE()</f>
        <v>0</v>
      </c>
      <c r="X102" s="26"/>
      <c r="Y102" s="24" t="b">
        <f>FALSE()</f>
        <v>0</v>
      </c>
    </row>
    <row r="103" spans="1:32" ht="14" x14ac:dyDescent="0.25">
      <c r="A103" s="10">
        <v>99</v>
      </c>
      <c r="B103" s="27" t="s">
        <v>137</v>
      </c>
      <c r="C103" s="27" t="s">
        <v>57</v>
      </c>
      <c r="D103" s="28">
        <v>46143</v>
      </c>
      <c r="E103" s="28">
        <v>46173</v>
      </c>
      <c r="F103" s="13">
        <f t="shared" si="24"/>
        <v>31</v>
      </c>
      <c r="G103" s="13">
        <v>900</v>
      </c>
      <c r="H103" s="41">
        <v>1200</v>
      </c>
      <c r="I103" s="52">
        <f t="shared" si="25"/>
        <v>4.3010752688172046E-2</v>
      </c>
      <c r="J103" s="17" t="str">
        <f t="shared" si="26"/>
        <v/>
      </c>
      <c r="K103" s="18" t="b">
        <f>FALSE()</f>
        <v>0</v>
      </c>
      <c r="L103" s="19" t="str">
        <f t="shared" si="27"/>
        <v/>
      </c>
      <c r="M103" s="19" t="b">
        <f>FALSE()</f>
        <v>0</v>
      </c>
      <c r="N103" s="17" t="str">
        <f t="shared" si="28"/>
        <v/>
      </c>
      <c r="O103" s="18" t="b">
        <f>FALSE()</f>
        <v>0</v>
      </c>
      <c r="P103" s="29">
        <f t="shared" si="29"/>
        <v>4.3010752688172046E-2</v>
      </c>
      <c r="Q103" s="19" t="b">
        <f>TRUE()</f>
        <v>1</v>
      </c>
      <c r="R103" s="17" t="str">
        <f t="shared" si="30"/>
        <v/>
      </c>
      <c r="S103" s="18" t="b">
        <f>FALSE()</f>
        <v>0</v>
      </c>
      <c r="T103" s="29">
        <f t="shared" si="31"/>
        <v>4.3010752688172046E-2</v>
      </c>
      <c r="U103" s="18" t="b">
        <f>TRUE()</f>
        <v>1</v>
      </c>
      <c r="V103" s="19"/>
      <c r="W103" s="18" t="b">
        <f>FALSE()</f>
        <v>0</v>
      </c>
      <c r="X103" s="19"/>
      <c r="Y103" s="18" t="b">
        <f>FALSE()</f>
        <v>0</v>
      </c>
    </row>
    <row r="104" spans="1:32" ht="14" x14ac:dyDescent="0.25">
      <c r="A104" s="10">
        <v>100</v>
      </c>
      <c r="B104" s="27" t="s">
        <v>70</v>
      </c>
      <c r="C104" s="27" t="s">
        <v>57</v>
      </c>
      <c r="D104" s="28">
        <v>46146</v>
      </c>
      <c r="E104" s="28">
        <v>46173</v>
      </c>
      <c r="F104" s="13">
        <f t="shared" si="24"/>
        <v>28</v>
      </c>
      <c r="G104" s="13">
        <v>900</v>
      </c>
      <c r="H104" s="41">
        <v>1415</v>
      </c>
      <c r="I104" s="52">
        <f t="shared" si="25"/>
        <v>5.6150793650793653E-2</v>
      </c>
      <c r="J104" s="30" t="str">
        <f t="shared" si="26"/>
        <v/>
      </c>
      <c r="K104" s="24" t="b">
        <f>FALSE()</f>
        <v>0</v>
      </c>
      <c r="L104" s="25">
        <f t="shared" si="27"/>
        <v>5.6150793650793653E-2</v>
      </c>
      <c r="M104" s="26" t="b">
        <f>TRUE()</f>
        <v>1</v>
      </c>
      <c r="N104" s="30" t="str">
        <f t="shared" si="28"/>
        <v/>
      </c>
      <c r="O104" s="24" t="b">
        <f>FALSE()</f>
        <v>0</v>
      </c>
      <c r="P104" s="26" t="str">
        <f t="shared" si="29"/>
        <v/>
      </c>
      <c r="Q104" s="26" t="b">
        <f>FALSE()</f>
        <v>0</v>
      </c>
      <c r="R104" s="30" t="str">
        <f t="shared" si="30"/>
        <v/>
      </c>
      <c r="S104" s="24" t="b">
        <f>FALSE()</f>
        <v>0</v>
      </c>
      <c r="T104" s="25">
        <f t="shared" si="31"/>
        <v>5.6150793650793653E-2</v>
      </c>
      <c r="U104" s="24" t="b">
        <f>TRUE()</f>
        <v>1</v>
      </c>
      <c r="V104" s="26"/>
      <c r="W104" s="24" t="b">
        <f>FALSE()</f>
        <v>0</v>
      </c>
      <c r="X104" s="26"/>
      <c r="Y104" s="24" t="b">
        <f>FALSE()</f>
        <v>0</v>
      </c>
    </row>
    <row r="105" spans="1:32" ht="14" x14ac:dyDescent="0.25">
      <c r="A105" s="10">
        <v>101</v>
      </c>
      <c r="B105" s="27" t="s">
        <v>19</v>
      </c>
      <c r="C105" s="27" t="s">
        <v>57</v>
      </c>
      <c r="D105" s="28">
        <v>46143</v>
      </c>
      <c r="E105" s="28">
        <v>46173</v>
      </c>
      <c r="F105" s="13">
        <f t="shared" si="24"/>
        <v>31</v>
      </c>
      <c r="G105" s="13">
        <v>900</v>
      </c>
      <c r="H105" s="41">
        <v>1200</v>
      </c>
      <c r="I105" s="52">
        <f t="shared" si="25"/>
        <v>4.3010752688172046E-2</v>
      </c>
      <c r="J105" s="17" t="str">
        <f t="shared" si="26"/>
        <v/>
      </c>
      <c r="K105" s="18" t="b">
        <f>FALSE()</f>
        <v>0</v>
      </c>
      <c r="L105" s="19" t="str">
        <f t="shared" si="27"/>
        <v/>
      </c>
      <c r="M105" s="19" t="b">
        <f>FALSE()</f>
        <v>0</v>
      </c>
      <c r="N105" s="17" t="str">
        <f t="shared" si="28"/>
        <v/>
      </c>
      <c r="O105" s="18" t="b">
        <f>FALSE()</f>
        <v>0</v>
      </c>
      <c r="P105" s="29">
        <f t="shared" si="29"/>
        <v>4.3010752688172046E-2</v>
      </c>
      <c r="Q105" s="19" t="b">
        <f>TRUE()</f>
        <v>1</v>
      </c>
      <c r="R105" s="17" t="str">
        <f t="shared" si="30"/>
        <v/>
      </c>
      <c r="S105" s="18" t="b">
        <f>FALSE()</f>
        <v>0</v>
      </c>
      <c r="T105" s="19" t="str">
        <f t="shared" si="31"/>
        <v/>
      </c>
      <c r="U105" s="18" t="b">
        <f>FALSE()</f>
        <v>0</v>
      </c>
      <c r="V105" s="19"/>
      <c r="W105" s="18" t="b">
        <f>FALSE()</f>
        <v>0</v>
      </c>
      <c r="X105" s="19"/>
      <c r="Y105" s="18" t="b">
        <f>FALSE()</f>
        <v>0</v>
      </c>
    </row>
    <row r="106" spans="1:32" ht="14" x14ac:dyDescent="0.25">
      <c r="A106" s="10">
        <v>102</v>
      </c>
      <c r="B106" s="27" t="s">
        <v>138</v>
      </c>
      <c r="C106" s="27" t="s">
        <v>139</v>
      </c>
      <c r="D106" s="28">
        <v>46146</v>
      </c>
      <c r="E106" s="28">
        <v>46173</v>
      </c>
      <c r="F106" s="13">
        <f t="shared" si="24"/>
        <v>28</v>
      </c>
      <c r="G106" s="13">
        <v>300</v>
      </c>
      <c r="H106" s="41">
        <v>720</v>
      </c>
      <c r="I106" s="52">
        <f t="shared" si="25"/>
        <v>8.5714285714285715E-2</v>
      </c>
      <c r="J106" s="30" t="str">
        <f t="shared" si="26"/>
        <v/>
      </c>
      <c r="K106" s="24" t="b">
        <f>FALSE()</f>
        <v>0</v>
      </c>
      <c r="L106" s="26" t="str">
        <f t="shared" si="27"/>
        <v/>
      </c>
      <c r="M106" s="26" t="b">
        <f>FALSE()</f>
        <v>0</v>
      </c>
      <c r="N106" s="30" t="str">
        <f t="shared" si="28"/>
        <v/>
      </c>
      <c r="O106" s="24" t="b">
        <f>FALSE()</f>
        <v>0</v>
      </c>
      <c r="P106" s="25">
        <f t="shared" si="29"/>
        <v>8.5714285714285715E-2</v>
      </c>
      <c r="Q106" s="26" t="b">
        <f>TRUE()</f>
        <v>1</v>
      </c>
      <c r="R106" s="30" t="str">
        <f t="shared" si="30"/>
        <v/>
      </c>
      <c r="S106" s="24" t="b">
        <f>FALSE()</f>
        <v>0</v>
      </c>
      <c r="T106" s="26" t="str">
        <f t="shared" si="31"/>
        <v/>
      </c>
      <c r="U106" s="24" t="b">
        <f>FALSE()</f>
        <v>0</v>
      </c>
      <c r="V106" s="26"/>
      <c r="W106" s="24" t="b">
        <f>FALSE()</f>
        <v>0</v>
      </c>
      <c r="X106" s="26"/>
      <c r="Y106" s="24" t="b">
        <f>FALSE()</f>
        <v>0</v>
      </c>
    </row>
    <row r="107" spans="1:32" ht="14" x14ac:dyDescent="0.25">
      <c r="A107" s="10">
        <v>103</v>
      </c>
      <c r="B107" s="27" t="s">
        <v>140</v>
      </c>
      <c r="C107" s="27" t="s">
        <v>57</v>
      </c>
      <c r="D107" s="28">
        <v>46143</v>
      </c>
      <c r="E107" s="28">
        <v>46173</v>
      </c>
      <c r="F107" s="13">
        <f t="shared" si="24"/>
        <v>31</v>
      </c>
      <c r="G107" s="13">
        <v>2400</v>
      </c>
      <c r="H107" s="41">
        <v>4100</v>
      </c>
      <c r="I107" s="52">
        <f t="shared" si="25"/>
        <v>5.510752688172043E-2</v>
      </c>
      <c r="J107" s="31">
        <f t="shared" si="26"/>
        <v>5.510752688172043E-2</v>
      </c>
      <c r="K107" s="18" t="b">
        <f>TRUE()</f>
        <v>1</v>
      </c>
      <c r="L107" s="29">
        <f t="shared" si="27"/>
        <v>5.510752688172043E-2</v>
      </c>
      <c r="M107" s="19" t="b">
        <f>TRUE()</f>
        <v>1</v>
      </c>
      <c r="N107" s="31">
        <f t="shared" si="28"/>
        <v>5.510752688172043E-2</v>
      </c>
      <c r="O107" s="18" t="b">
        <f>TRUE()</f>
        <v>1</v>
      </c>
      <c r="P107" s="19" t="str">
        <f t="shared" si="29"/>
        <v/>
      </c>
      <c r="Q107" s="19" t="b">
        <f>FALSE()</f>
        <v>0</v>
      </c>
      <c r="R107" s="31">
        <f t="shared" si="30"/>
        <v>5.510752688172043E-2</v>
      </c>
      <c r="S107" s="18" t="b">
        <f>TRUE()</f>
        <v>1</v>
      </c>
      <c r="T107" s="19" t="str">
        <f t="shared" si="31"/>
        <v/>
      </c>
      <c r="U107" s="18" t="b">
        <f>FALSE()</f>
        <v>0</v>
      </c>
      <c r="V107" s="19" t="str">
        <f t="shared" ref="V107:V113" si="32">IF(W107=TRUE(),$I107,"")</f>
        <v/>
      </c>
      <c r="W107" s="18" t="b">
        <f>FALSE()</f>
        <v>0</v>
      </c>
      <c r="X107" s="19"/>
      <c r="Y107" s="18" t="b">
        <f>FALSE()</f>
        <v>0</v>
      </c>
    </row>
    <row r="108" spans="1:32" ht="14" x14ac:dyDescent="0.25">
      <c r="A108" s="10">
        <v>104</v>
      </c>
      <c r="B108" s="27" t="s">
        <v>141</v>
      </c>
      <c r="C108" s="27"/>
      <c r="D108" s="28">
        <v>46151</v>
      </c>
      <c r="E108" s="28">
        <v>46181</v>
      </c>
      <c r="F108" s="13">
        <f t="shared" si="24"/>
        <v>31</v>
      </c>
      <c r="G108" s="13">
        <v>300</v>
      </c>
      <c r="H108" s="41">
        <v>550</v>
      </c>
      <c r="I108" s="52">
        <f t="shared" si="25"/>
        <v>5.9139784946236562E-2</v>
      </c>
      <c r="J108" s="30" t="str">
        <f t="shared" si="26"/>
        <v/>
      </c>
      <c r="K108" s="24" t="b">
        <f>FALSE()</f>
        <v>0</v>
      </c>
      <c r="L108" s="26" t="str">
        <f t="shared" si="27"/>
        <v/>
      </c>
      <c r="M108" s="26" t="b">
        <f>FALSE()</f>
        <v>0</v>
      </c>
      <c r="N108" s="23">
        <f t="shared" si="28"/>
        <v>5.9139784946236562E-2</v>
      </c>
      <c r="O108" s="24" t="b">
        <f>TRUE()</f>
        <v>1</v>
      </c>
      <c r="P108" s="26" t="str">
        <f t="shared" si="29"/>
        <v/>
      </c>
      <c r="Q108" s="26" t="b">
        <f>FALSE()</f>
        <v>0</v>
      </c>
      <c r="R108" s="30" t="str">
        <f t="shared" si="30"/>
        <v/>
      </c>
      <c r="S108" s="24" t="b">
        <f>FALSE()</f>
        <v>0</v>
      </c>
      <c r="T108" s="26" t="str">
        <f t="shared" si="31"/>
        <v/>
      </c>
      <c r="U108" s="24" t="b">
        <f>FALSE()</f>
        <v>0</v>
      </c>
      <c r="V108" s="26" t="str">
        <f t="shared" si="32"/>
        <v/>
      </c>
      <c r="W108" s="24" t="b">
        <f>FALSE()</f>
        <v>0</v>
      </c>
      <c r="X108" s="26"/>
      <c r="Y108" s="24" t="b">
        <f>FALSE()</f>
        <v>0</v>
      </c>
    </row>
    <row r="109" spans="1:32" ht="14" x14ac:dyDescent="0.25">
      <c r="A109" s="10">
        <v>105</v>
      </c>
      <c r="B109" s="27" t="s">
        <v>142</v>
      </c>
      <c r="C109" s="27" t="s">
        <v>143</v>
      </c>
      <c r="D109" s="28">
        <v>46148</v>
      </c>
      <c r="E109" s="28">
        <v>46153</v>
      </c>
      <c r="F109" s="13">
        <f t="shared" si="24"/>
        <v>6</v>
      </c>
      <c r="G109" s="13">
        <v>450</v>
      </c>
      <c r="H109" s="41">
        <v>225</v>
      </c>
      <c r="I109" s="52">
        <f t="shared" si="25"/>
        <v>8.3333333333333329E-2</v>
      </c>
      <c r="J109" s="17" t="str">
        <f t="shared" si="26"/>
        <v/>
      </c>
      <c r="K109" s="18" t="b">
        <f>FALSE()</f>
        <v>0</v>
      </c>
      <c r="L109" s="29">
        <f t="shared" si="27"/>
        <v>8.3333333333333329E-2</v>
      </c>
      <c r="M109" s="19" t="b">
        <f>TRUE()</f>
        <v>1</v>
      </c>
      <c r="N109" s="17" t="str">
        <f t="shared" si="28"/>
        <v/>
      </c>
      <c r="O109" s="18" t="b">
        <f>FALSE()</f>
        <v>0</v>
      </c>
      <c r="P109" s="19" t="str">
        <f t="shared" si="29"/>
        <v/>
      </c>
      <c r="Q109" s="19" t="b">
        <f>FALSE()</f>
        <v>0</v>
      </c>
      <c r="R109" s="17" t="str">
        <f t="shared" si="30"/>
        <v/>
      </c>
      <c r="S109" s="18" t="b">
        <f>FALSE()</f>
        <v>0</v>
      </c>
      <c r="T109" s="19" t="str">
        <f t="shared" si="31"/>
        <v/>
      </c>
      <c r="U109" s="18" t="b">
        <f>FALSE()</f>
        <v>0</v>
      </c>
      <c r="V109" s="19" t="str">
        <f t="shared" si="32"/>
        <v/>
      </c>
      <c r="W109" s="18" t="b">
        <f>FALSE()</f>
        <v>0</v>
      </c>
      <c r="X109" s="19"/>
      <c r="Y109" s="18" t="b">
        <f>FALSE()</f>
        <v>0</v>
      </c>
    </row>
    <row r="110" spans="1:32" ht="14" x14ac:dyDescent="0.25">
      <c r="A110" s="10">
        <v>106</v>
      </c>
      <c r="B110" s="27" t="s">
        <v>51</v>
      </c>
      <c r="C110" s="27"/>
      <c r="D110" s="28">
        <v>46160</v>
      </c>
      <c r="E110" s="28">
        <v>46190</v>
      </c>
      <c r="F110" s="13">
        <f t="shared" si="24"/>
        <v>31</v>
      </c>
      <c r="G110" s="13">
        <v>300</v>
      </c>
      <c r="H110" s="41">
        <v>550</v>
      </c>
      <c r="I110" s="52">
        <f t="shared" si="25"/>
        <v>5.9139784946236562E-2</v>
      </c>
      <c r="J110" s="30" t="str">
        <f t="shared" si="26"/>
        <v/>
      </c>
      <c r="K110" s="24" t="b">
        <f>FALSE()</f>
        <v>0</v>
      </c>
      <c r="L110" s="26" t="str">
        <f t="shared" si="27"/>
        <v/>
      </c>
      <c r="M110" s="26" t="b">
        <f>FALSE()</f>
        <v>0</v>
      </c>
      <c r="N110" s="30" t="str">
        <f t="shared" si="28"/>
        <v/>
      </c>
      <c r="O110" s="24" t="b">
        <f>FALSE()</f>
        <v>0</v>
      </c>
      <c r="P110" s="25">
        <f t="shared" si="29"/>
        <v>5.9139784946236562E-2</v>
      </c>
      <c r="Q110" s="26" t="b">
        <f>TRUE()</f>
        <v>1</v>
      </c>
      <c r="R110" s="30" t="str">
        <f t="shared" si="30"/>
        <v/>
      </c>
      <c r="S110" s="24" t="b">
        <f>FALSE()</f>
        <v>0</v>
      </c>
      <c r="T110" s="26" t="str">
        <f t="shared" si="31"/>
        <v/>
      </c>
      <c r="U110" s="24" t="b">
        <f>FALSE()</f>
        <v>0</v>
      </c>
      <c r="V110" s="26" t="str">
        <f t="shared" si="32"/>
        <v/>
      </c>
      <c r="W110" s="24" t="b">
        <f>FALSE()</f>
        <v>0</v>
      </c>
      <c r="X110" s="26"/>
      <c r="Y110" s="24" t="b">
        <f>FALSE()</f>
        <v>0</v>
      </c>
    </row>
    <row r="111" spans="1:32" ht="14" x14ac:dyDescent="0.25">
      <c r="A111" s="10">
        <v>107</v>
      </c>
      <c r="B111" s="27" t="s">
        <v>144</v>
      </c>
      <c r="C111" s="27" t="s">
        <v>145</v>
      </c>
      <c r="D111" s="28">
        <v>46149</v>
      </c>
      <c r="E111" s="28">
        <v>46179</v>
      </c>
      <c r="F111" s="13">
        <f t="shared" si="24"/>
        <v>31</v>
      </c>
      <c r="G111" s="13">
        <v>450</v>
      </c>
      <c r="H111" s="41">
        <v>600</v>
      </c>
      <c r="I111" s="52">
        <f t="shared" si="25"/>
        <v>4.3010752688172046E-2</v>
      </c>
      <c r="J111" s="17" t="str">
        <f t="shared" si="26"/>
        <v/>
      </c>
      <c r="K111" s="18" t="b">
        <f>FALSE()</f>
        <v>0</v>
      </c>
      <c r="L111" s="19" t="str">
        <f t="shared" si="27"/>
        <v/>
      </c>
      <c r="M111" s="19" t="b">
        <f>FALSE()</f>
        <v>0</v>
      </c>
      <c r="N111" s="17" t="str">
        <f t="shared" si="28"/>
        <v/>
      </c>
      <c r="O111" s="18" t="b">
        <f>FALSE()</f>
        <v>0</v>
      </c>
      <c r="P111" s="19" t="str">
        <f t="shared" si="29"/>
        <v/>
      </c>
      <c r="Q111" s="19" t="b">
        <f>FALSE()</f>
        <v>0</v>
      </c>
      <c r="R111" s="31">
        <f t="shared" si="30"/>
        <v>4.3010752688172046E-2</v>
      </c>
      <c r="S111" s="18" t="b">
        <f>TRUE()</f>
        <v>1</v>
      </c>
      <c r="T111" s="19" t="str">
        <f t="shared" si="31"/>
        <v/>
      </c>
      <c r="U111" s="18" t="b">
        <f>FALSE()</f>
        <v>0</v>
      </c>
      <c r="V111" s="19" t="str">
        <f t="shared" si="32"/>
        <v/>
      </c>
      <c r="W111" s="18" t="b">
        <f>FALSE()</f>
        <v>0</v>
      </c>
      <c r="X111" s="19"/>
      <c r="Y111" s="18" t="b">
        <f>FALSE()</f>
        <v>0</v>
      </c>
    </row>
    <row r="112" spans="1:32" ht="14" x14ac:dyDescent="0.25">
      <c r="A112" s="10">
        <v>108</v>
      </c>
      <c r="B112" s="27" t="s">
        <v>74</v>
      </c>
      <c r="C112" s="27" t="s">
        <v>146</v>
      </c>
      <c r="D112" s="28">
        <v>46151</v>
      </c>
      <c r="E112" s="28">
        <v>46157</v>
      </c>
      <c r="F112" s="13">
        <f t="shared" si="24"/>
        <v>7</v>
      </c>
      <c r="G112" s="13">
        <v>900</v>
      </c>
      <c r="H112" s="41">
        <v>315</v>
      </c>
      <c r="I112" s="52">
        <f t="shared" si="25"/>
        <v>0.05</v>
      </c>
      <c r="J112" s="30" t="str">
        <f t="shared" si="26"/>
        <v/>
      </c>
      <c r="K112" s="24" t="b">
        <f>FALSE()</f>
        <v>0</v>
      </c>
      <c r="L112" s="25">
        <f t="shared" si="27"/>
        <v>0.05</v>
      </c>
      <c r="M112" s="26" t="b">
        <f>TRUE()</f>
        <v>1</v>
      </c>
      <c r="N112" s="23">
        <f t="shared" si="28"/>
        <v>0.05</v>
      </c>
      <c r="O112" s="24" t="b">
        <f>TRUE()</f>
        <v>1</v>
      </c>
      <c r="P112" s="26" t="str">
        <f t="shared" si="29"/>
        <v/>
      </c>
      <c r="Q112" s="26" t="b">
        <f>FALSE()</f>
        <v>0</v>
      </c>
      <c r="R112" s="30" t="str">
        <f t="shared" si="30"/>
        <v/>
      </c>
      <c r="S112" s="24" t="b">
        <f>FALSE()</f>
        <v>0</v>
      </c>
      <c r="T112" s="26" t="str">
        <f t="shared" si="31"/>
        <v/>
      </c>
      <c r="U112" s="24" t="b">
        <f>FALSE()</f>
        <v>0</v>
      </c>
      <c r="V112" s="26" t="str">
        <f t="shared" si="32"/>
        <v/>
      </c>
      <c r="W112" s="24" t="b">
        <f>FALSE()</f>
        <v>0</v>
      </c>
      <c r="X112" s="26"/>
      <c r="Y112" s="24" t="b">
        <f>FALSE()</f>
        <v>0</v>
      </c>
    </row>
    <row r="113" spans="1:25" ht="14" x14ac:dyDescent="0.25">
      <c r="A113" s="10">
        <v>109</v>
      </c>
      <c r="B113" s="27" t="s">
        <v>110</v>
      </c>
      <c r="C113" s="27" t="s">
        <v>111</v>
      </c>
      <c r="D113" s="28">
        <v>46148</v>
      </c>
      <c r="E113" s="28">
        <v>46178</v>
      </c>
      <c r="F113" s="13">
        <f t="shared" si="24"/>
        <v>31</v>
      </c>
      <c r="G113" s="13">
        <v>900</v>
      </c>
      <c r="H113" s="41">
        <v>1678.05</v>
      </c>
      <c r="I113" s="52">
        <f t="shared" si="25"/>
        <v>6.0145161290322581E-2</v>
      </c>
      <c r="J113" s="31">
        <f t="shared" si="26"/>
        <v>6.0145161290322581E-2</v>
      </c>
      <c r="K113" s="18" t="b">
        <f>TRUE()</f>
        <v>1</v>
      </c>
      <c r="L113" s="19" t="str">
        <f t="shared" si="27"/>
        <v/>
      </c>
      <c r="M113" s="19" t="b">
        <f>FALSE()</f>
        <v>0</v>
      </c>
      <c r="N113" s="31">
        <f t="shared" si="28"/>
        <v>6.0145161290322581E-2</v>
      </c>
      <c r="O113" s="18" t="b">
        <f>TRUE()</f>
        <v>1</v>
      </c>
      <c r="P113" s="19" t="str">
        <f t="shared" si="29"/>
        <v/>
      </c>
      <c r="Q113" s="19" t="b">
        <f>FALSE()</f>
        <v>0</v>
      </c>
      <c r="R113" s="17" t="str">
        <f t="shared" si="30"/>
        <v/>
      </c>
      <c r="S113" s="18" t="b">
        <f>FALSE()</f>
        <v>0</v>
      </c>
      <c r="T113" s="19" t="str">
        <f t="shared" si="31"/>
        <v/>
      </c>
      <c r="U113" s="18" t="b">
        <f>FALSE()</f>
        <v>0</v>
      </c>
      <c r="V113" s="19" t="str">
        <f t="shared" si="32"/>
        <v/>
      </c>
      <c r="W113" s="18" t="b">
        <f>FALSE()</f>
        <v>0</v>
      </c>
      <c r="X113" s="19"/>
      <c r="Y113" s="18" t="b">
        <f>FALSE()</f>
        <v>0</v>
      </c>
    </row>
    <row r="114" spans="1:25" ht="14" x14ac:dyDescent="0.25">
      <c r="A114" s="10">
        <v>110</v>
      </c>
      <c r="B114" s="27" t="s">
        <v>116</v>
      </c>
      <c r="C114" s="27"/>
      <c r="D114" s="28">
        <v>46157</v>
      </c>
      <c r="E114" s="28">
        <v>46194</v>
      </c>
      <c r="F114" s="13">
        <f t="shared" si="24"/>
        <v>38</v>
      </c>
      <c r="G114" s="13">
        <v>600</v>
      </c>
      <c r="H114" s="41">
        <v>1080</v>
      </c>
      <c r="I114" s="52">
        <f t="shared" si="25"/>
        <v>4.736842105263158E-2</v>
      </c>
      <c r="J114" s="30" t="str">
        <f t="shared" si="26"/>
        <v/>
      </c>
      <c r="K114" s="24" t="b">
        <f>FALSE()</f>
        <v>0</v>
      </c>
      <c r="L114" s="26" t="str">
        <f t="shared" si="27"/>
        <v/>
      </c>
      <c r="M114" s="26" t="b">
        <f>FALSE()</f>
        <v>0</v>
      </c>
      <c r="N114" s="30" t="str">
        <f t="shared" si="28"/>
        <v/>
      </c>
      <c r="O114" s="24" t="b">
        <f>FALSE()</f>
        <v>0</v>
      </c>
      <c r="P114" s="26" t="str">
        <f t="shared" si="29"/>
        <v/>
      </c>
      <c r="Q114" s="26" t="b">
        <f>FALSE()</f>
        <v>0</v>
      </c>
      <c r="R114" s="23">
        <f t="shared" si="30"/>
        <v>4.736842105263158E-2</v>
      </c>
      <c r="S114" s="24" t="b">
        <f>TRUE()</f>
        <v>1</v>
      </c>
      <c r="T114" s="25">
        <f t="shared" si="31"/>
        <v>4.736842105263158E-2</v>
      </c>
      <c r="U114" s="24" t="b">
        <f>TRUE()</f>
        <v>1</v>
      </c>
      <c r="V114" s="26"/>
      <c r="W114" s="24" t="b">
        <f>FALSE()</f>
        <v>0</v>
      </c>
      <c r="X114" s="26"/>
      <c r="Y114" s="24" t="b">
        <f>FALSE()</f>
        <v>0</v>
      </c>
    </row>
    <row r="115" spans="1:25" ht="14" x14ac:dyDescent="0.25">
      <c r="A115" s="10">
        <v>111</v>
      </c>
      <c r="B115" s="27" t="s">
        <v>37</v>
      </c>
      <c r="C115" s="27" t="s">
        <v>128</v>
      </c>
      <c r="D115" s="28">
        <v>46169</v>
      </c>
      <c r="E115" s="28">
        <v>46184</v>
      </c>
      <c r="F115" s="13">
        <f t="shared" si="24"/>
        <v>16</v>
      </c>
      <c r="G115" s="13">
        <v>900</v>
      </c>
      <c r="H115" s="41">
        <v>720</v>
      </c>
      <c r="I115" s="52">
        <f t="shared" si="25"/>
        <v>0.05</v>
      </c>
      <c r="J115" s="31">
        <f t="shared" si="26"/>
        <v>0.05</v>
      </c>
      <c r="K115" s="18" t="b">
        <f>TRUE()</f>
        <v>1</v>
      </c>
      <c r="L115" s="19" t="str">
        <f t="shared" si="27"/>
        <v/>
      </c>
      <c r="M115" s="19" t="b">
        <f>FALSE()</f>
        <v>0</v>
      </c>
      <c r="N115" s="17" t="str">
        <f t="shared" si="28"/>
        <v/>
      </c>
      <c r="O115" s="18" t="b">
        <f>FALSE()</f>
        <v>0</v>
      </c>
      <c r="P115" s="19" t="str">
        <f t="shared" si="29"/>
        <v/>
      </c>
      <c r="Q115" s="19" t="b">
        <f>FALSE()</f>
        <v>0</v>
      </c>
      <c r="R115" s="31">
        <f t="shared" si="30"/>
        <v>0.05</v>
      </c>
      <c r="S115" s="18" t="b">
        <f>TRUE()</f>
        <v>1</v>
      </c>
      <c r="T115" s="19" t="str">
        <f t="shared" si="31"/>
        <v/>
      </c>
      <c r="U115" s="18" t="b">
        <f>FALSE()</f>
        <v>0</v>
      </c>
      <c r="V115" s="19" t="str">
        <f>IF(W115=TRUE(),$I115,"")</f>
        <v/>
      </c>
      <c r="W115" s="18" t="b">
        <f>FALSE()</f>
        <v>0</v>
      </c>
      <c r="X115" s="19"/>
      <c r="Y115" s="18" t="b">
        <f>FALSE()</f>
        <v>0</v>
      </c>
    </row>
    <row r="116" spans="1:25" ht="14" x14ac:dyDescent="0.25">
      <c r="A116" s="10">
        <v>112</v>
      </c>
      <c r="B116" s="27" t="s">
        <v>147</v>
      </c>
      <c r="C116" s="27" t="s">
        <v>148</v>
      </c>
      <c r="D116" s="28">
        <v>46157</v>
      </c>
      <c r="E116" s="28">
        <v>46187</v>
      </c>
      <c r="F116" s="13">
        <f t="shared" si="24"/>
        <v>31</v>
      </c>
      <c r="G116" s="13">
        <v>1800</v>
      </c>
      <c r="H116" s="41">
        <v>2340</v>
      </c>
      <c r="I116" s="52">
        <f t="shared" si="25"/>
        <v>4.1935483870967745E-2</v>
      </c>
      <c r="J116" s="23">
        <f t="shared" si="26"/>
        <v>4.1935483870967745E-2</v>
      </c>
      <c r="K116" s="24" t="b">
        <f>TRUE()</f>
        <v>1</v>
      </c>
      <c r="L116" s="25">
        <f t="shared" si="27"/>
        <v>4.1935483870967745E-2</v>
      </c>
      <c r="M116" s="26" t="b">
        <f>TRUE()</f>
        <v>1</v>
      </c>
      <c r="N116" s="30" t="str">
        <f t="shared" si="28"/>
        <v/>
      </c>
      <c r="O116" s="24" t="b">
        <f>FALSE()</f>
        <v>0</v>
      </c>
      <c r="P116" s="26" t="str">
        <f t="shared" si="29"/>
        <v/>
      </c>
      <c r="Q116" s="26" t="b">
        <f>FALSE()</f>
        <v>0</v>
      </c>
      <c r="R116" s="23">
        <f t="shared" si="30"/>
        <v>4.1935483870967745E-2</v>
      </c>
      <c r="S116" s="24" t="b">
        <f>TRUE()</f>
        <v>1</v>
      </c>
      <c r="T116" s="26" t="str">
        <f t="shared" si="31"/>
        <v/>
      </c>
      <c r="U116" s="24" t="b">
        <f>FALSE()</f>
        <v>0</v>
      </c>
      <c r="V116" s="26" t="str">
        <f>IF(W116=TRUE(),$I116,"")</f>
        <v/>
      </c>
      <c r="W116" s="24" t="b">
        <f>FALSE()</f>
        <v>0</v>
      </c>
      <c r="X116" s="26"/>
      <c r="Y116" s="24" t="b">
        <f>FALSE()</f>
        <v>0</v>
      </c>
    </row>
    <row r="117" spans="1:25" ht="14" x14ac:dyDescent="0.25">
      <c r="A117" s="10">
        <v>113</v>
      </c>
      <c r="B117" s="27" t="s">
        <v>37</v>
      </c>
      <c r="C117" s="27" t="s">
        <v>149</v>
      </c>
      <c r="D117" s="28">
        <v>46185</v>
      </c>
      <c r="E117" s="28">
        <v>46199</v>
      </c>
      <c r="F117" s="13">
        <f t="shared" si="24"/>
        <v>15</v>
      </c>
      <c r="G117" s="13">
        <v>900</v>
      </c>
      <c r="H117" s="41">
        <v>687.5</v>
      </c>
      <c r="I117" s="52">
        <f t="shared" si="25"/>
        <v>5.0925925925925923E-2</v>
      </c>
      <c r="J117" s="17" t="str">
        <f t="shared" si="26"/>
        <v/>
      </c>
      <c r="K117" s="18" t="b">
        <f>FALSE()</f>
        <v>0</v>
      </c>
      <c r="L117" s="29">
        <f t="shared" si="27"/>
        <v>5.0925925925925923E-2</v>
      </c>
      <c r="M117" s="19" t="b">
        <f>TRUE()</f>
        <v>1</v>
      </c>
      <c r="N117" s="17" t="str">
        <f t="shared" si="28"/>
        <v/>
      </c>
      <c r="O117" s="18" t="b">
        <f>FALSE()</f>
        <v>0</v>
      </c>
      <c r="P117" s="19" t="str">
        <f t="shared" si="29"/>
        <v/>
      </c>
      <c r="Q117" s="19" t="b">
        <f>FALSE()</f>
        <v>0</v>
      </c>
      <c r="R117" s="31">
        <f t="shared" si="30"/>
        <v>5.0925925925925923E-2</v>
      </c>
      <c r="S117" s="18" t="b">
        <f>TRUE()</f>
        <v>1</v>
      </c>
      <c r="T117" s="19" t="str">
        <f t="shared" si="31"/>
        <v/>
      </c>
      <c r="U117" s="18" t="b">
        <f>FALSE()</f>
        <v>0</v>
      </c>
      <c r="V117" s="19" t="str">
        <f>IF(W117=TRUE(),$I117,"")</f>
        <v/>
      </c>
      <c r="W117" s="18" t="b">
        <f>FALSE()</f>
        <v>0</v>
      </c>
      <c r="X117" s="19"/>
      <c r="Y117" s="18" t="b">
        <f>FALSE()</f>
        <v>0</v>
      </c>
    </row>
    <row r="118" spans="1:25" ht="14" x14ac:dyDescent="0.25">
      <c r="A118" s="10">
        <v>114</v>
      </c>
      <c r="B118" s="27" t="s">
        <v>37</v>
      </c>
      <c r="C118" s="27" t="s">
        <v>149</v>
      </c>
      <c r="D118" s="28">
        <v>46169</v>
      </c>
      <c r="E118" s="28">
        <v>46184</v>
      </c>
      <c r="F118" s="13">
        <f t="shared" si="24"/>
        <v>16</v>
      </c>
      <c r="G118" s="13">
        <v>900</v>
      </c>
      <c r="H118" s="41">
        <v>585</v>
      </c>
      <c r="I118" s="52">
        <f t="shared" si="25"/>
        <v>4.0625000000000001E-2</v>
      </c>
      <c r="J118" s="23">
        <f t="shared" si="26"/>
        <v>4.0625000000000001E-2</v>
      </c>
      <c r="K118" s="24" t="b">
        <f>TRUE()</f>
        <v>1</v>
      </c>
      <c r="L118" s="26" t="str">
        <f t="shared" si="27"/>
        <v/>
      </c>
      <c r="M118" s="26" t="b">
        <f>FALSE()</f>
        <v>0</v>
      </c>
      <c r="N118" s="30" t="str">
        <f t="shared" si="28"/>
        <v/>
      </c>
      <c r="O118" s="24" t="b">
        <f>FALSE()</f>
        <v>0</v>
      </c>
      <c r="P118" s="26" t="str">
        <f t="shared" si="29"/>
        <v/>
      </c>
      <c r="Q118" s="26" t="b">
        <f>FALSE()</f>
        <v>0</v>
      </c>
      <c r="R118" s="30" t="str">
        <f t="shared" si="30"/>
        <v/>
      </c>
      <c r="S118" s="24" t="b">
        <f>FALSE()</f>
        <v>0</v>
      </c>
      <c r="T118" s="26" t="str">
        <f t="shared" si="31"/>
        <v/>
      </c>
      <c r="U118" s="24" t="b">
        <f>FALSE()</f>
        <v>0</v>
      </c>
      <c r="V118" s="26" t="str">
        <f>IF(W118=TRUE(),$I118,"")</f>
        <v/>
      </c>
      <c r="W118" s="24" t="b">
        <f>FALSE()</f>
        <v>0</v>
      </c>
      <c r="X118" s="26"/>
      <c r="Y118" s="24" t="b">
        <f>FALSE()</f>
        <v>0</v>
      </c>
    </row>
    <row r="119" spans="1:25" ht="14" x14ac:dyDescent="0.25">
      <c r="A119" s="10">
        <v>115</v>
      </c>
      <c r="B119" s="27" t="s">
        <v>150</v>
      </c>
      <c r="C119" s="27" t="s">
        <v>151</v>
      </c>
      <c r="D119" s="28">
        <v>46161</v>
      </c>
      <c r="E119" s="28">
        <v>46252</v>
      </c>
      <c r="F119" s="13">
        <f t="shared" si="24"/>
        <v>92</v>
      </c>
      <c r="G119" s="13">
        <v>900</v>
      </c>
      <c r="H119" s="41">
        <v>4860</v>
      </c>
      <c r="I119" s="52">
        <f t="shared" si="25"/>
        <v>5.8695652173913045E-2</v>
      </c>
      <c r="J119" s="17" t="str">
        <f t="shared" si="26"/>
        <v/>
      </c>
      <c r="K119" s="18" t="b">
        <f>FALSE()</f>
        <v>0</v>
      </c>
      <c r="L119" s="19" t="str">
        <f t="shared" si="27"/>
        <v/>
      </c>
      <c r="M119" s="19" t="b">
        <f>FALSE()</f>
        <v>0</v>
      </c>
      <c r="N119" s="17" t="str">
        <f t="shared" si="28"/>
        <v/>
      </c>
      <c r="O119" s="18" t="b">
        <f>FALSE()</f>
        <v>0</v>
      </c>
      <c r="P119" s="29">
        <f t="shared" si="29"/>
        <v>5.8695652173913045E-2</v>
      </c>
      <c r="Q119" s="19" t="b">
        <f>TRUE()</f>
        <v>1</v>
      </c>
      <c r="R119" s="31">
        <f t="shared" si="30"/>
        <v>5.8695652173913045E-2</v>
      </c>
      <c r="S119" s="18" t="b">
        <f>TRUE()</f>
        <v>1</v>
      </c>
      <c r="T119" s="19" t="str">
        <f t="shared" si="31"/>
        <v/>
      </c>
      <c r="U119" s="18" t="b">
        <f>FALSE()</f>
        <v>0</v>
      </c>
      <c r="V119" s="19" t="str">
        <f>IF(W119=TRUE(),$I119,"")</f>
        <v/>
      </c>
      <c r="W119" s="18" t="b">
        <f>FALSE()</f>
        <v>0</v>
      </c>
      <c r="X119" s="19"/>
      <c r="Y119" s="18" t="b">
        <f>FALSE()</f>
        <v>0</v>
      </c>
    </row>
    <row r="120" spans="1:25" ht="14" x14ac:dyDescent="0.25">
      <c r="A120" s="10">
        <v>116</v>
      </c>
      <c r="B120" s="27" t="s">
        <v>77</v>
      </c>
      <c r="C120" s="27" t="s">
        <v>152</v>
      </c>
      <c r="D120" s="28">
        <v>46167</v>
      </c>
      <c r="E120" s="28">
        <v>46175</v>
      </c>
      <c r="F120" s="13">
        <f t="shared" si="24"/>
        <v>9</v>
      </c>
      <c r="G120" s="13">
        <v>1350</v>
      </c>
      <c r="H120" s="41">
        <v>1417.5</v>
      </c>
      <c r="I120" s="52">
        <f t="shared" si="25"/>
        <v>0.11666666666666667</v>
      </c>
      <c r="J120" s="30" t="str">
        <f t="shared" si="26"/>
        <v/>
      </c>
      <c r="K120" s="24" t="b">
        <f>FALSE()</f>
        <v>0</v>
      </c>
      <c r="L120" s="26" t="str">
        <f t="shared" si="27"/>
        <v/>
      </c>
      <c r="M120" s="26" t="b">
        <f>FALSE()</f>
        <v>0</v>
      </c>
      <c r="N120" s="23">
        <f t="shared" si="28"/>
        <v>0.11666666666666667</v>
      </c>
      <c r="O120" s="24" t="b">
        <f>TRUE()</f>
        <v>1</v>
      </c>
      <c r="P120" s="25">
        <f t="shared" si="29"/>
        <v>0.11666666666666667</v>
      </c>
      <c r="Q120" s="26" t="b">
        <f>TRUE()</f>
        <v>1</v>
      </c>
      <c r="R120" s="30" t="str">
        <f t="shared" si="30"/>
        <v/>
      </c>
      <c r="S120" s="24" t="b">
        <f>FALSE()</f>
        <v>0</v>
      </c>
      <c r="T120" s="25">
        <f t="shared" si="31"/>
        <v>0.11666666666666667</v>
      </c>
      <c r="U120" s="24" t="b">
        <f>TRUE()</f>
        <v>1</v>
      </c>
      <c r="V120" s="26"/>
      <c r="W120" s="24" t="b">
        <f>FALSE()</f>
        <v>0</v>
      </c>
      <c r="X120" s="26"/>
      <c r="Y120" s="24" t="b">
        <f>FALSE()</f>
        <v>0</v>
      </c>
    </row>
    <row r="121" spans="1:25" ht="14" x14ac:dyDescent="0.25">
      <c r="A121" s="10">
        <v>117</v>
      </c>
      <c r="B121" s="27" t="s">
        <v>37</v>
      </c>
      <c r="C121" s="27" t="s">
        <v>153</v>
      </c>
      <c r="D121" s="28">
        <v>46164</v>
      </c>
      <c r="E121" s="28">
        <v>46192</v>
      </c>
      <c r="F121" s="13">
        <f t="shared" si="24"/>
        <v>29</v>
      </c>
      <c r="G121" s="13">
        <v>450</v>
      </c>
      <c r="H121" s="41">
        <v>652.5</v>
      </c>
      <c r="I121" s="52">
        <f t="shared" si="25"/>
        <v>0.05</v>
      </c>
      <c r="J121" s="17" t="str">
        <f t="shared" si="26"/>
        <v/>
      </c>
      <c r="K121" s="18" t="b">
        <f>FALSE()</f>
        <v>0</v>
      </c>
      <c r="L121" s="29">
        <f t="shared" si="27"/>
        <v>0.05</v>
      </c>
      <c r="M121" s="19" t="b">
        <f>TRUE()</f>
        <v>1</v>
      </c>
      <c r="N121" s="17" t="str">
        <f t="shared" si="28"/>
        <v/>
      </c>
      <c r="O121" s="18" t="b">
        <f>FALSE()</f>
        <v>0</v>
      </c>
      <c r="P121" s="19" t="str">
        <f t="shared" si="29"/>
        <v/>
      </c>
      <c r="Q121" s="19" t="b">
        <f>FALSE()</f>
        <v>0</v>
      </c>
      <c r="R121" s="17" t="str">
        <f t="shared" si="30"/>
        <v/>
      </c>
      <c r="S121" s="18" t="b">
        <f>FALSE()</f>
        <v>0</v>
      </c>
      <c r="T121" s="19" t="str">
        <f t="shared" si="31"/>
        <v/>
      </c>
      <c r="U121" s="18" t="b">
        <f>FALSE()</f>
        <v>0</v>
      </c>
      <c r="V121" s="19" t="str">
        <f t="shared" ref="V121:V152" si="33">IF(W121=TRUE(),$I121,"")</f>
        <v/>
      </c>
      <c r="W121" s="18" t="b">
        <f>FALSE()</f>
        <v>0</v>
      </c>
      <c r="X121" s="19"/>
      <c r="Y121" s="18" t="b">
        <f>FALSE()</f>
        <v>0</v>
      </c>
    </row>
    <row r="122" spans="1:25" ht="14" x14ac:dyDescent="0.25">
      <c r="A122" s="10">
        <v>118</v>
      </c>
      <c r="B122" s="27" t="s">
        <v>154</v>
      </c>
      <c r="C122" s="27"/>
      <c r="D122" s="28">
        <v>46165</v>
      </c>
      <c r="E122" s="28">
        <v>46179</v>
      </c>
      <c r="F122" s="13">
        <f t="shared" si="24"/>
        <v>15</v>
      </c>
      <c r="G122" s="13">
        <v>1350</v>
      </c>
      <c r="H122" s="41">
        <v>1275</v>
      </c>
      <c r="I122" s="52">
        <f t="shared" si="25"/>
        <v>6.2962962962962957E-2</v>
      </c>
      <c r="J122" s="23">
        <f t="shared" si="26"/>
        <v>6.2962962962962957E-2</v>
      </c>
      <c r="K122" s="24" t="b">
        <f>TRUE()</f>
        <v>1</v>
      </c>
      <c r="L122" s="26" t="str">
        <f t="shared" si="27"/>
        <v/>
      </c>
      <c r="M122" s="26" t="b">
        <f>FALSE()</f>
        <v>0</v>
      </c>
      <c r="N122" s="30" t="str">
        <f t="shared" si="28"/>
        <v/>
      </c>
      <c r="O122" s="24" t="b">
        <f>FALSE()</f>
        <v>0</v>
      </c>
      <c r="P122" s="26" t="str">
        <f t="shared" si="29"/>
        <v/>
      </c>
      <c r="Q122" s="26" t="b">
        <f>FALSE()</f>
        <v>0</v>
      </c>
      <c r="R122" s="30" t="str">
        <f t="shared" si="30"/>
        <v/>
      </c>
      <c r="S122" s="24" t="b">
        <f>FALSE()</f>
        <v>0</v>
      </c>
      <c r="T122" s="25">
        <f t="shared" si="31"/>
        <v>6.2962962962962957E-2</v>
      </c>
      <c r="U122" s="24" t="b">
        <f>TRUE()</f>
        <v>1</v>
      </c>
      <c r="V122" s="25">
        <f t="shared" si="33"/>
        <v>6.2962962962962957E-2</v>
      </c>
      <c r="W122" s="24" t="b">
        <f>TRUE()</f>
        <v>1</v>
      </c>
      <c r="X122" s="26" t="str">
        <f>IF(Y122=TRUE(),$I122,"")</f>
        <v/>
      </c>
      <c r="Y122" s="24" t="b">
        <f>FALSE()</f>
        <v>0</v>
      </c>
    </row>
    <row r="123" spans="1:25" ht="14" x14ac:dyDescent="0.25">
      <c r="A123" s="10">
        <v>119</v>
      </c>
      <c r="B123" s="27" t="s">
        <v>155</v>
      </c>
      <c r="C123" s="27"/>
      <c r="D123" s="28">
        <v>46180</v>
      </c>
      <c r="E123" s="28">
        <v>46209</v>
      </c>
      <c r="F123" s="13">
        <f t="shared" si="24"/>
        <v>30</v>
      </c>
      <c r="G123" s="13">
        <v>450</v>
      </c>
      <c r="H123" s="41">
        <v>600</v>
      </c>
      <c r="I123" s="52">
        <f t="shared" si="25"/>
        <v>4.4444444444444446E-2</v>
      </c>
      <c r="J123" s="17" t="str">
        <f t="shared" si="26"/>
        <v/>
      </c>
      <c r="K123" s="18" t="b">
        <f>FALSE()</f>
        <v>0</v>
      </c>
      <c r="L123" s="19" t="str">
        <f t="shared" si="27"/>
        <v/>
      </c>
      <c r="M123" s="19" t="b">
        <f>FALSE()</f>
        <v>0</v>
      </c>
      <c r="N123" s="17" t="str">
        <f t="shared" si="28"/>
        <v/>
      </c>
      <c r="O123" s="18" t="b">
        <f>FALSE()</f>
        <v>0</v>
      </c>
      <c r="P123" s="19" t="str">
        <f t="shared" si="29"/>
        <v/>
      </c>
      <c r="Q123" s="19" t="b">
        <f>FALSE()</f>
        <v>0</v>
      </c>
      <c r="R123" s="31">
        <f t="shared" si="30"/>
        <v>4.4444444444444446E-2</v>
      </c>
      <c r="S123" s="18" t="b">
        <f>TRUE()</f>
        <v>1</v>
      </c>
      <c r="T123" s="19" t="str">
        <f t="shared" si="31"/>
        <v/>
      </c>
      <c r="U123" s="18" t="b">
        <f>FALSE()</f>
        <v>0</v>
      </c>
      <c r="V123" s="19" t="str">
        <f t="shared" si="33"/>
        <v/>
      </c>
      <c r="W123" s="18" t="b">
        <f>FALSE()</f>
        <v>0</v>
      </c>
      <c r="X123" s="19" t="str">
        <f>IF(Y123=TRUE(),$I123,"")</f>
        <v/>
      </c>
      <c r="Y123" s="18" t="b">
        <f>FALSE()</f>
        <v>0</v>
      </c>
    </row>
    <row r="124" spans="1:25" ht="14" x14ac:dyDescent="0.25">
      <c r="A124" s="10">
        <v>120</v>
      </c>
      <c r="B124" s="27" t="s">
        <v>84</v>
      </c>
      <c r="C124" s="27" t="s">
        <v>156</v>
      </c>
      <c r="D124" s="28">
        <v>46169</v>
      </c>
      <c r="E124" s="28">
        <v>46199</v>
      </c>
      <c r="F124" s="13">
        <f t="shared" si="24"/>
        <v>31</v>
      </c>
      <c r="G124" s="13">
        <v>900</v>
      </c>
      <c r="H124" s="41">
        <v>1800</v>
      </c>
      <c r="I124" s="52">
        <f t="shared" si="25"/>
        <v>6.4516129032258063E-2</v>
      </c>
      <c r="J124" s="23">
        <f t="shared" si="26"/>
        <v>6.4516129032258063E-2</v>
      </c>
      <c r="K124" s="24" t="b">
        <f>TRUE()</f>
        <v>1</v>
      </c>
      <c r="L124" s="26" t="str">
        <f t="shared" si="27"/>
        <v/>
      </c>
      <c r="M124" s="26" t="b">
        <f>FALSE()</f>
        <v>0</v>
      </c>
      <c r="N124" s="23">
        <f t="shared" si="28"/>
        <v>6.4516129032258063E-2</v>
      </c>
      <c r="O124" s="24" t="b">
        <f>TRUE()</f>
        <v>1</v>
      </c>
      <c r="P124" s="26" t="str">
        <f t="shared" si="29"/>
        <v/>
      </c>
      <c r="Q124" s="26" t="b">
        <f>FALSE()</f>
        <v>0</v>
      </c>
      <c r="R124" s="23">
        <f t="shared" si="30"/>
        <v>6.4516129032258063E-2</v>
      </c>
      <c r="S124" s="24" t="b">
        <f>TRUE()</f>
        <v>1</v>
      </c>
      <c r="T124" s="26" t="str">
        <f t="shared" si="31"/>
        <v/>
      </c>
      <c r="U124" s="24" t="b">
        <f>FALSE()</f>
        <v>0</v>
      </c>
      <c r="V124" s="26" t="str">
        <f t="shared" si="33"/>
        <v/>
      </c>
      <c r="W124" s="24" t="b">
        <f>FALSE()</f>
        <v>0</v>
      </c>
      <c r="X124" s="26" t="str">
        <f>IF(Y124=TRUE(),$I124,"")</f>
        <v/>
      </c>
      <c r="Y124" s="24" t="b">
        <f>FALSE()</f>
        <v>0</v>
      </c>
    </row>
    <row r="125" spans="1:25" ht="14" x14ac:dyDescent="0.25">
      <c r="A125" s="10">
        <v>121</v>
      </c>
      <c r="B125" s="27" t="s">
        <v>108</v>
      </c>
      <c r="C125" s="27" t="s">
        <v>157</v>
      </c>
      <c r="D125" s="28">
        <v>46174</v>
      </c>
      <c r="E125" s="28">
        <v>46203</v>
      </c>
      <c r="F125" s="13">
        <f t="shared" si="24"/>
        <v>30</v>
      </c>
      <c r="G125" s="13">
        <v>450</v>
      </c>
      <c r="H125" s="41">
        <v>600</v>
      </c>
      <c r="I125" s="52">
        <f t="shared" si="25"/>
        <v>4.4444444444444446E-2</v>
      </c>
      <c r="J125" s="17" t="str">
        <f t="shared" si="26"/>
        <v/>
      </c>
      <c r="K125" s="18" t="b">
        <f>FALSE()</f>
        <v>0</v>
      </c>
      <c r="L125" s="19" t="str">
        <f t="shared" si="27"/>
        <v/>
      </c>
      <c r="M125" s="19" t="b">
        <f>FALSE()</f>
        <v>0</v>
      </c>
      <c r="N125" s="17" t="str">
        <f t="shared" si="28"/>
        <v/>
      </c>
      <c r="O125" s="18" t="b">
        <f>FALSE()</f>
        <v>0</v>
      </c>
      <c r="P125" s="19" t="str">
        <f t="shared" si="29"/>
        <v/>
      </c>
      <c r="Q125" s="19" t="b">
        <f>FALSE()</f>
        <v>0</v>
      </c>
      <c r="R125" s="17" t="str">
        <f t="shared" si="30"/>
        <v/>
      </c>
      <c r="S125" s="18" t="b">
        <f>FALSE()</f>
        <v>0</v>
      </c>
      <c r="T125" s="29">
        <f t="shared" si="31"/>
        <v>4.4444444444444446E-2</v>
      </c>
      <c r="U125" s="18" t="b">
        <f>TRUE()</f>
        <v>1</v>
      </c>
      <c r="V125" s="19" t="str">
        <f t="shared" si="33"/>
        <v/>
      </c>
      <c r="W125" s="18" t="b">
        <f>FALSE()</f>
        <v>0</v>
      </c>
      <c r="X125" s="19" t="str">
        <f>IF(Y125=TRUE(),$I125,"")</f>
        <v/>
      </c>
      <c r="Y125" s="18" t="b">
        <f>FALSE()</f>
        <v>0</v>
      </c>
    </row>
    <row r="126" spans="1:25" ht="14" x14ac:dyDescent="0.25">
      <c r="A126" s="10">
        <v>122</v>
      </c>
      <c r="B126" s="27" t="s">
        <v>158</v>
      </c>
      <c r="C126" s="27" t="s">
        <v>157</v>
      </c>
      <c r="D126" s="28">
        <v>46174</v>
      </c>
      <c r="E126" s="28">
        <v>46203</v>
      </c>
      <c r="F126" s="13">
        <f t="shared" si="24"/>
        <v>30</v>
      </c>
      <c r="G126" s="13">
        <v>900</v>
      </c>
      <c r="H126" s="41">
        <v>1200</v>
      </c>
      <c r="I126" s="52">
        <f t="shared" si="25"/>
        <v>4.4444444444444446E-2</v>
      </c>
      <c r="J126" s="31">
        <f t="shared" si="26"/>
        <v>4.4444444444444446E-2</v>
      </c>
      <c r="K126" s="18" t="b">
        <f>TRUE()</f>
        <v>1</v>
      </c>
      <c r="L126" s="19" t="str">
        <f t="shared" si="27"/>
        <v/>
      </c>
      <c r="M126" s="19" t="b">
        <f>FALSE()</f>
        <v>0</v>
      </c>
      <c r="N126" s="17" t="str">
        <f t="shared" si="28"/>
        <v/>
      </c>
      <c r="O126" s="18" t="b">
        <f>FALSE()</f>
        <v>0</v>
      </c>
      <c r="P126" s="29">
        <f t="shared" si="29"/>
        <v>4.4444444444444446E-2</v>
      </c>
      <c r="Q126" s="19" t="b">
        <f>TRUE()</f>
        <v>1</v>
      </c>
      <c r="R126" s="17" t="str">
        <f t="shared" si="30"/>
        <v/>
      </c>
      <c r="S126" s="18" t="b">
        <f>FALSE()</f>
        <v>0</v>
      </c>
      <c r="T126" s="19" t="str">
        <f t="shared" si="31"/>
        <v/>
      </c>
      <c r="U126" s="18" t="b">
        <f>FALSE()</f>
        <v>0</v>
      </c>
      <c r="V126" s="19" t="str">
        <f t="shared" si="33"/>
        <v/>
      </c>
      <c r="W126" s="18" t="b">
        <f>FALSE()</f>
        <v>0</v>
      </c>
      <c r="X126" s="19"/>
      <c r="Y126" s="18" t="b">
        <f>FALSE()</f>
        <v>0</v>
      </c>
    </row>
    <row r="127" spans="1:25" ht="14" x14ac:dyDescent="0.25">
      <c r="A127" s="10">
        <v>123</v>
      </c>
      <c r="B127" s="27" t="s">
        <v>33</v>
      </c>
      <c r="C127" s="27"/>
      <c r="D127" s="28">
        <v>46174</v>
      </c>
      <c r="E127" s="28">
        <v>46203</v>
      </c>
      <c r="F127" s="13">
        <f t="shared" si="24"/>
        <v>30</v>
      </c>
      <c r="G127" s="13">
        <v>600</v>
      </c>
      <c r="H127" s="41">
        <v>1100</v>
      </c>
      <c r="I127" s="52">
        <f t="shared" si="25"/>
        <v>6.1111111111111109E-2</v>
      </c>
      <c r="J127" s="30" t="str">
        <f t="shared" si="26"/>
        <v/>
      </c>
      <c r="K127" s="24" t="b">
        <f>FALSE()</f>
        <v>0</v>
      </c>
      <c r="L127" s="26" t="str">
        <f t="shared" si="27"/>
        <v/>
      </c>
      <c r="M127" s="26" t="b">
        <f>FALSE()</f>
        <v>0</v>
      </c>
      <c r="N127" s="30" t="str">
        <f t="shared" si="28"/>
        <v/>
      </c>
      <c r="O127" s="24" t="b">
        <f>FALSE()</f>
        <v>0</v>
      </c>
      <c r="P127" s="25">
        <f t="shared" si="29"/>
        <v>6.1111111111111109E-2</v>
      </c>
      <c r="Q127" s="26" t="b">
        <f>TRUE()</f>
        <v>1</v>
      </c>
      <c r="R127" s="23">
        <f t="shared" si="30"/>
        <v>6.1111111111111109E-2</v>
      </c>
      <c r="S127" s="24" t="b">
        <f>TRUE()</f>
        <v>1</v>
      </c>
      <c r="T127" s="26" t="str">
        <f t="shared" si="31"/>
        <v/>
      </c>
      <c r="U127" s="24" t="b">
        <f>FALSE()</f>
        <v>0</v>
      </c>
      <c r="V127" s="26" t="str">
        <f t="shared" si="33"/>
        <v/>
      </c>
      <c r="W127" s="24" t="b">
        <f>FALSE()</f>
        <v>0</v>
      </c>
      <c r="X127" s="26" t="str">
        <f>IF(Y127=TRUE(),$I127,"")</f>
        <v/>
      </c>
      <c r="Y127" s="24" t="b">
        <f>FALSE()</f>
        <v>0</v>
      </c>
    </row>
    <row r="128" spans="1:25" ht="14" x14ac:dyDescent="0.25">
      <c r="A128" s="10">
        <v>124</v>
      </c>
      <c r="B128" s="27" t="s">
        <v>159</v>
      </c>
      <c r="C128" s="27" t="s">
        <v>57</v>
      </c>
      <c r="D128" s="28">
        <v>46174</v>
      </c>
      <c r="E128" s="28">
        <v>46203</v>
      </c>
      <c r="F128" s="13">
        <f t="shared" si="24"/>
        <v>30</v>
      </c>
      <c r="G128" s="13">
        <v>900</v>
      </c>
      <c r="H128" s="41">
        <v>1760</v>
      </c>
      <c r="I128" s="52">
        <f t="shared" si="25"/>
        <v>6.5185185185185179E-2</v>
      </c>
      <c r="J128" s="17" t="str">
        <f t="shared" si="26"/>
        <v/>
      </c>
      <c r="K128" s="18" t="b">
        <f>FALSE()</f>
        <v>0</v>
      </c>
      <c r="L128" s="29">
        <f t="shared" si="27"/>
        <v>6.5185185185185179E-2</v>
      </c>
      <c r="M128" s="19" t="b">
        <f>TRUE()</f>
        <v>1</v>
      </c>
      <c r="N128" s="17" t="str">
        <f t="shared" si="28"/>
        <v/>
      </c>
      <c r="O128" s="18" t="b">
        <f>FALSE()</f>
        <v>0</v>
      </c>
      <c r="P128" s="19" t="str">
        <f t="shared" si="29"/>
        <v/>
      </c>
      <c r="Q128" s="19" t="b">
        <f>FALSE()</f>
        <v>0</v>
      </c>
      <c r="R128" s="17" t="str">
        <f t="shared" si="30"/>
        <v/>
      </c>
      <c r="S128" s="18" t="b">
        <f>FALSE()</f>
        <v>0</v>
      </c>
      <c r="T128" s="19" t="str">
        <f t="shared" si="31"/>
        <v/>
      </c>
      <c r="U128" s="18" t="b">
        <f>FALSE()</f>
        <v>0</v>
      </c>
      <c r="V128" s="29">
        <f t="shared" si="33"/>
        <v>6.5185185185185179E-2</v>
      </c>
      <c r="W128" s="18" t="b">
        <f>TRUE()</f>
        <v>1</v>
      </c>
      <c r="X128" s="19" t="str">
        <f>IF(Y128=TRUE(),$I128,"")</f>
        <v/>
      </c>
      <c r="Y128" s="18" t="b">
        <f>FALSE()</f>
        <v>0</v>
      </c>
    </row>
    <row r="129" spans="1:26" ht="14" x14ac:dyDescent="0.25">
      <c r="A129" s="10">
        <v>125</v>
      </c>
      <c r="B129" s="27" t="s">
        <v>155</v>
      </c>
      <c r="C129" s="27" t="s">
        <v>160</v>
      </c>
      <c r="D129" s="28">
        <v>46174</v>
      </c>
      <c r="E129" s="28">
        <v>46203</v>
      </c>
      <c r="F129" s="13">
        <f t="shared" si="24"/>
        <v>30</v>
      </c>
      <c r="G129" s="13">
        <v>900</v>
      </c>
      <c r="H129" s="41">
        <v>1200</v>
      </c>
      <c r="I129" s="52">
        <f t="shared" si="25"/>
        <v>4.4444444444444446E-2</v>
      </c>
      <c r="J129" s="30" t="str">
        <f t="shared" si="26"/>
        <v/>
      </c>
      <c r="K129" s="24" t="b">
        <f>FALSE()</f>
        <v>0</v>
      </c>
      <c r="L129" s="26" t="str">
        <f t="shared" si="27"/>
        <v/>
      </c>
      <c r="M129" s="26" t="b">
        <f>FALSE()</f>
        <v>0</v>
      </c>
      <c r="N129" s="30" t="str">
        <f t="shared" si="28"/>
        <v/>
      </c>
      <c r="O129" s="24" t="b">
        <f>FALSE()</f>
        <v>0</v>
      </c>
      <c r="P129" s="25">
        <f t="shared" si="29"/>
        <v>4.4444444444444446E-2</v>
      </c>
      <c r="Q129" s="26" t="b">
        <f>TRUE()</f>
        <v>1</v>
      </c>
      <c r="R129" s="30" t="str">
        <f t="shared" si="30"/>
        <v/>
      </c>
      <c r="S129" s="24" t="b">
        <f>FALSE()</f>
        <v>0</v>
      </c>
      <c r="T129" s="25">
        <f t="shared" si="31"/>
        <v>4.4444444444444446E-2</v>
      </c>
      <c r="U129" s="24" t="b">
        <f>TRUE()</f>
        <v>1</v>
      </c>
      <c r="V129" s="26" t="str">
        <f t="shared" si="33"/>
        <v/>
      </c>
      <c r="W129" s="24" t="b">
        <f>FALSE()</f>
        <v>0</v>
      </c>
      <c r="X129" s="26" t="str">
        <f>IF(Y129=TRUE(),$I129,"")</f>
        <v/>
      </c>
      <c r="Y129" s="24" t="b">
        <f>FALSE()</f>
        <v>0</v>
      </c>
    </row>
    <row r="130" spans="1:26" ht="14" x14ac:dyDescent="0.25">
      <c r="A130" s="10">
        <v>126</v>
      </c>
      <c r="B130" s="27" t="s">
        <v>126</v>
      </c>
      <c r="C130" s="27" t="s">
        <v>57</v>
      </c>
      <c r="D130" s="28">
        <v>46174</v>
      </c>
      <c r="E130" s="28">
        <v>46203</v>
      </c>
      <c r="F130" s="13">
        <f t="shared" si="24"/>
        <v>30</v>
      </c>
      <c r="G130" s="13">
        <v>300</v>
      </c>
      <c r="H130" s="41">
        <v>550</v>
      </c>
      <c r="I130" s="52">
        <f t="shared" si="25"/>
        <v>6.1111111111111109E-2</v>
      </c>
      <c r="J130" s="31">
        <f t="shared" si="26"/>
        <v>6.1111111111111109E-2</v>
      </c>
      <c r="K130" s="18" t="b">
        <f>TRUE()</f>
        <v>1</v>
      </c>
      <c r="L130" s="19" t="str">
        <f t="shared" si="27"/>
        <v/>
      </c>
      <c r="M130" s="19" t="b">
        <f>FALSE()</f>
        <v>0</v>
      </c>
      <c r="N130" s="17" t="str">
        <f t="shared" si="28"/>
        <v/>
      </c>
      <c r="O130" s="18" t="b">
        <f>FALSE()</f>
        <v>0</v>
      </c>
      <c r="P130" s="19" t="str">
        <f t="shared" si="29"/>
        <v/>
      </c>
      <c r="Q130" s="19" t="b">
        <f>FALSE()</f>
        <v>0</v>
      </c>
      <c r="R130" s="17" t="str">
        <f t="shared" si="30"/>
        <v/>
      </c>
      <c r="S130" s="18" t="b">
        <f>FALSE()</f>
        <v>0</v>
      </c>
      <c r="T130" s="19" t="str">
        <f t="shared" si="31"/>
        <v/>
      </c>
      <c r="U130" s="18" t="b">
        <f>FALSE()</f>
        <v>0</v>
      </c>
      <c r="V130" s="19" t="str">
        <f t="shared" si="33"/>
        <v/>
      </c>
      <c r="W130" s="18" t="b">
        <f>FALSE()</f>
        <v>0</v>
      </c>
      <c r="X130" s="19" t="str">
        <f>IF(Y130=TRUE(),$I130,"")</f>
        <v/>
      </c>
      <c r="Y130" s="18" t="b">
        <f>FALSE()</f>
        <v>0</v>
      </c>
    </row>
    <row r="131" spans="1:26" ht="14" x14ac:dyDescent="0.3">
      <c r="A131" s="10">
        <v>127</v>
      </c>
      <c r="B131" s="27" t="s">
        <v>161</v>
      </c>
      <c r="C131" s="27" t="s">
        <v>57</v>
      </c>
      <c r="D131" s="28">
        <v>46173</v>
      </c>
      <c r="E131" s="28">
        <v>46174</v>
      </c>
      <c r="F131" s="13">
        <f t="shared" si="24"/>
        <v>2</v>
      </c>
      <c r="G131" s="13">
        <v>300</v>
      </c>
      <c r="H131" s="41">
        <v>0</v>
      </c>
      <c r="I131" s="52">
        <f t="shared" si="25"/>
        <v>0</v>
      </c>
      <c r="J131" s="17" t="str">
        <f t="shared" si="26"/>
        <v/>
      </c>
      <c r="K131" s="18" t="b">
        <f>FALSE()</f>
        <v>0</v>
      </c>
      <c r="L131" s="29">
        <f t="shared" si="27"/>
        <v>0</v>
      </c>
      <c r="M131" s="19" t="b">
        <f>TRUE()</f>
        <v>1</v>
      </c>
      <c r="N131" s="17" t="str">
        <f t="shared" si="28"/>
        <v/>
      </c>
      <c r="O131" s="18" t="b">
        <f>FALSE()</f>
        <v>0</v>
      </c>
      <c r="P131" s="19" t="str">
        <f t="shared" si="29"/>
        <v/>
      </c>
      <c r="Q131" s="19" t="b">
        <f>FALSE()</f>
        <v>0</v>
      </c>
      <c r="R131" s="17" t="str">
        <f t="shared" si="30"/>
        <v/>
      </c>
      <c r="S131" s="18" t="b">
        <f>FALSE()</f>
        <v>0</v>
      </c>
      <c r="T131" s="19" t="str">
        <f t="shared" si="31"/>
        <v/>
      </c>
      <c r="U131" s="18" t="b">
        <f>FALSE()</f>
        <v>0</v>
      </c>
      <c r="V131" s="19" t="str">
        <f t="shared" si="33"/>
        <v/>
      </c>
      <c r="W131" s="18" t="b">
        <f>FALSE()</f>
        <v>0</v>
      </c>
      <c r="X131" s="19"/>
      <c r="Y131" s="18" t="b">
        <f>FALSE()</f>
        <v>0</v>
      </c>
      <c r="Z131" s="54" t="s">
        <v>162</v>
      </c>
    </row>
    <row r="132" spans="1:26" ht="14" x14ac:dyDescent="0.25">
      <c r="A132" s="10">
        <v>128</v>
      </c>
      <c r="B132" s="27" t="s">
        <v>163</v>
      </c>
      <c r="C132" s="27" t="s">
        <v>57</v>
      </c>
      <c r="D132" s="28">
        <v>46175</v>
      </c>
      <c r="E132" s="28">
        <v>46204</v>
      </c>
      <c r="F132" s="13">
        <f t="shared" ref="F132:F163" si="34">(E132-D132)+1</f>
        <v>30</v>
      </c>
      <c r="G132" s="13">
        <v>450</v>
      </c>
      <c r="H132" s="41">
        <v>810</v>
      </c>
      <c r="I132" s="52">
        <f t="shared" si="25"/>
        <v>0.06</v>
      </c>
      <c r="J132" s="30" t="str">
        <f t="shared" si="26"/>
        <v/>
      </c>
      <c r="K132" s="24" t="b">
        <f>FALSE()</f>
        <v>0</v>
      </c>
      <c r="L132" s="26" t="str">
        <f t="shared" si="27"/>
        <v/>
      </c>
      <c r="M132" s="26" t="b">
        <f>FALSE()</f>
        <v>0</v>
      </c>
      <c r="N132" s="23">
        <f t="shared" si="28"/>
        <v>0.06</v>
      </c>
      <c r="O132" s="24" t="b">
        <f>TRUE()</f>
        <v>1</v>
      </c>
      <c r="P132" s="26" t="str">
        <f t="shared" si="29"/>
        <v/>
      </c>
      <c r="Q132" s="26" t="b">
        <f>FALSE()</f>
        <v>0</v>
      </c>
      <c r="R132" s="30" t="str">
        <f t="shared" si="30"/>
        <v/>
      </c>
      <c r="S132" s="24" t="b">
        <f>FALSE()</f>
        <v>0</v>
      </c>
      <c r="T132" s="26" t="str">
        <f t="shared" si="31"/>
        <v/>
      </c>
      <c r="U132" s="24" t="b">
        <f>FALSE()</f>
        <v>0</v>
      </c>
      <c r="V132" s="26" t="str">
        <f t="shared" si="33"/>
        <v/>
      </c>
      <c r="W132" s="24" t="b">
        <f>FALSE()</f>
        <v>0</v>
      </c>
      <c r="X132" s="26" t="str">
        <f>IF(Y132=TRUE(),$I132,"")</f>
        <v/>
      </c>
      <c r="Y132" s="24" t="b">
        <f>FALSE()</f>
        <v>0</v>
      </c>
    </row>
    <row r="133" spans="1:26" ht="14" x14ac:dyDescent="0.25">
      <c r="A133" s="10">
        <v>129</v>
      </c>
      <c r="B133" s="27" t="s">
        <v>164</v>
      </c>
      <c r="C133" s="27" t="s">
        <v>165</v>
      </c>
      <c r="D133" s="28">
        <v>46188</v>
      </c>
      <c r="E133" s="28">
        <v>46217</v>
      </c>
      <c r="F133" s="13">
        <f t="shared" si="34"/>
        <v>30</v>
      </c>
      <c r="G133" s="13">
        <v>1800</v>
      </c>
      <c r="H133" s="41">
        <v>3500</v>
      </c>
      <c r="I133" s="52">
        <f t="shared" ref="I133:I164" si="35">IFERROR(H133/(F133*G133),"")</f>
        <v>6.4814814814814811E-2</v>
      </c>
      <c r="J133" s="31">
        <f t="shared" ref="J133:J164" si="36">IF(K133=TRUE(),$I133,"")</f>
        <v>6.4814814814814811E-2</v>
      </c>
      <c r="K133" s="18" t="b">
        <f>TRUE()</f>
        <v>1</v>
      </c>
      <c r="L133" s="29">
        <f t="shared" ref="L133:L164" si="37">IF(M133=TRUE(),$I133,"")</f>
        <v>6.4814814814814811E-2</v>
      </c>
      <c r="M133" s="19" t="b">
        <f>TRUE()</f>
        <v>1</v>
      </c>
      <c r="N133" s="17" t="str">
        <f t="shared" ref="N133:N164" si="38">IF(O133=TRUE(),$I133,"")</f>
        <v/>
      </c>
      <c r="O133" s="18" t="b">
        <f>FALSE()</f>
        <v>0</v>
      </c>
      <c r="P133" s="29">
        <f t="shared" ref="P133:P164" si="39">IF(Q133=TRUE(),$I133,"")</f>
        <v>6.4814814814814811E-2</v>
      </c>
      <c r="Q133" s="19" t="b">
        <f>TRUE()</f>
        <v>1</v>
      </c>
      <c r="R133" s="17" t="str">
        <f t="shared" ref="R133:R164" si="40">IF(S133=TRUE(),$I133,"")</f>
        <v/>
      </c>
      <c r="S133" s="18" t="b">
        <f>FALSE()</f>
        <v>0</v>
      </c>
      <c r="T133" s="29">
        <f t="shared" ref="T133:T164" si="41">IF(U133=TRUE(),$I133,"")</f>
        <v>6.4814814814814811E-2</v>
      </c>
      <c r="U133" s="18" t="b">
        <f>TRUE()</f>
        <v>1</v>
      </c>
      <c r="V133" s="19" t="str">
        <f t="shared" si="33"/>
        <v/>
      </c>
      <c r="W133" s="18" t="b">
        <f>FALSE()</f>
        <v>0</v>
      </c>
      <c r="X133" s="19" t="str">
        <f>IF(Y133=TRUE(),$I133,"")</f>
        <v/>
      </c>
      <c r="Y133" s="18" t="b">
        <f>FALSE()</f>
        <v>0</v>
      </c>
    </row>
    <row r="134" spans="1:26" ht="14" x14ac:dyDescent="0.25">
      <c r="A134" s="10">
        <v>130</v>
      </c>
      <c r="B134" s="27" t="s">
        <v>19</v>
      </c>
      <c r="C134" s="27" t="s">
        <v>57</v>
      </c>
      <c r="D134" s="28">
        <v>46174</v>
      </c>
      <c r="E134" s="28">
        <v>46234</v>
      </c>
      <c r="F134" s="13">
        <f t="shared" si="34"/>
        <v>61</v>
      </c>
      <c r="G134" s="13">
        <v>1800</v>
      </c>
      <c r="H134" s="41">
        <v>4800</v>
      </c>
      <c r="I134" s="52">
        <f t="shared" si="35"/>
        <v>4.3715846994535519E-2</v>
      </c>
      <c r="J134" s="30" t="str">
        <f t="shared" si="36"/>
        <v/>
      </c>
      <c r="K134" s="24" t="b">
        <f>FALSE()</f>
        <v>0</v>
      </c>
      <c r="L134" s="26" t="str">
        <f t="shared" si="37"/>
        <v/>
      </c>
      <c r="M134" s="26" t="b">
        <f>FALSE()</f>
        <v>0</v>
      </c>
      <c r="N134" s="23">
        <f t="shared" si="38"/>
        <v>4.3715846994535519E-2</v>
      </c>
      <c r="O134" s="24" t="b">
        <f>TRUE()</f>
        <v>1</v>
      </c>
      <c r="P134" s="25">
        <f t="shared" si="39"/>
        <v>4.3715846994535519E-2</v>
      </c>
      <c r="Q134" s="26" t="b">
        <f>TRUE()</f>
        <v>1</v>
      </c>
      <c r="R134" s="30" t="str">
        <f t="shared" si="40"/>
        <v/>
      </c>
      <c r="S134" s="24" t="b">
        <f>FALSE()</f>
        <v>0</v>
      </c>
      <c r="T134" s="26" t="str">
        <f t="shared" si="41"/>
        <v/>
      </c>
      <c r="U134" s="24" t="b">
        <f>FALSE()</f>
        <v>0</v>
      </c>
      <c r="V134" s="26" t="str">
        <f t="shared" si="33"/>
        <v/>
      </c>
      <c r="W134" s="24" t="b">
        <f>FALSE()</f>
        <v>0</v>
      </c>
      <c r="X134" s="26" t="str">
        <f>IF(Y134=TRUE(),$I134,"")</f>
        <v/>
      </c>
      <c r="Y134" s="24" t="b">
        <f>FALSE()</f>
        <v>0</v>
      </c>
    </row>
    <row r="135" spans="1:26" ht="14" x14ac:dyDescent="0.25">
      <c r="A135" s="10">
        <v>131</v>
      </c>
      <c r="B135" s="27" t="s">
        <v>77</v>
      </c>
      <c r="C135" s="27" t="s">
        <v>57</v>
      </c>
      <c r="D135" s="28">
        <v>46176</v>
      </c>
      <c r="E135" s="28">
        <v>46205</v>
      </c>
      <c r="F135" s="13">
        <f t="shared" si="34"/>
        <v>30</v>
      </c>
      <c r="G135" s="13">
        <v>1350</v>
      </c>
      <c r="H135" s="41">
        <v>2700</v>
      </c>
      <c r="I135" s="52">
        <f t="shared" si="35"/>
        <v>6.6666666666666666E-2</v>
      </c>
      <c r="J135" s="17" t="str">
        <f t="shared" si="36"/>
        <v/>
      </c>
      <c r="K135" s="18" t="b">
        <f>FALSE()</f>
        <v>0</v>
      </c>
      <c r="L135" s="19" t="str">
        <f t="shared" si="37"/>
        <v/>
      </c>
      <c r="M135" s="19" t="b">
        <f>FALSE()</f>
        <v>0</v>
      </c>
      <c r="N135" s="31">
        <f t="shared" si="38"/>
        <v>6.6666666666666666E-2</v>
      </c>
      <c r="O135" s="18" t="b">
        <f>TRUE()</f>
        <v>1</v>
      </c>
      <c r="P135" s="29">
        <f t="shared" si="39"/>
        <v>6.6666666666666666E-2</v>
      </c>
      <c r="Q135" s="19" t="b">
        <f>TRUE()</f>
        <v>1</v>
      </c>
      <c r="R135" s="17" t="str">
        <f t="shared" si="40"/>
        <v/>
      </c>
      <c r="S135" s="18" t="b">
        <f>FALSE()</f>
        <v>0</v>
      </c>
      <c r="T135" s="29">
        <f t="shared" si="41"/>
        <v>6.6666666666666666E-2</v>
      </c>
      <c r="U135" s="18" t="b">
        <f>TRUE()</f>
        <v>1</v>
      </c>
      <c r="V135" s="19" t="str">
        <f t="shared" si="33"/>
        <v/>
      </c>
      <c r="W135" s="18" t="b">
        <f>FALSE()</f>
        <v>0</v>
      </c>
      <c r="X135" s="19" t="str">
        <f>IF(Y135=TRUE(),$I135,"")</f>
        <v/>
      </c>
      <c r="Y135" s="18" t="b">
        <f>FALSE()</f>
        <v>0</v>
      </c>
    </row>
    <row r="136" spans="1:26" ht="14" x14ac:dyDescent="0.25">
      <c r="A136" s="10">
        <v>132</v>
      </c>
      <c r="B136" s="27" t="s">
        <v>138</v>
      </c>
      <c r="C136" s="27" t="s">
        <v>57</v>
      </c>
      <c r="D136" s="28">
        <v>46174</v>
      </c>
      <c r="E136" s="28">
        <v>46203</v>
      </c>
      <c r="F136" s="13">
        <f t="shared" si="34"/>
        <v>30</v>
      </c>
      <c r="G136" s="13">
        <v>900</v>
      </c>
      <c r="H136" s="41">
        <v>1440</v>
      </c>
      <c r="I136" s="52">
        <f t="shared" si="35"/>
        <v>5.3333333333333337E-2</v>
      </c>
      <c r="J136" s="17" t="str">
        <f t="shared" si="36"/>
        <v/>
      </c>
      <c r="K136" s="18" t="b">
        <f>FALSE()</f>
        <v>0</v>
      </c>
      <c r="L136" s="19" t="str">
        <f t="shared" si="37"/>
        <v/>
      </c>
      <c r="M136" s="19" t="b">
        <f>FALSE()</f>
        <v>0</v>
      </c>
      <c r="N136" s="17" t="str">
        <f t="shared" si="38"/>
        <v/>
      </c>
      <c r="O136" s="18" t="b">
        <f>FALSE()</f>
        <v>0</v>
      </c>
      <c r="P136" s="29">
        <f t="shared" si="39"/>
        <v>5.3333333333333337E-2</v>
      </c>
      <c r="Q136" s="19" t="b">
        <f>TRUE()</f>
        <v>1</v>
      </c>
      <c r="R136" s="17" t="str">
        <f t="shared" si="40"/>
        <v/>
      </c>
      <c r="S136" s="18" t="b">
        <f>FALSE()</f>
        <v>0</v>
      </c>
      <c r="T136" s="29">
        <f t="shared" si="41"/>
        <v>5.3333333333333337E-2</v>
      </c>
      <c r="U136" s="18" t="b">
        <f>TRUE()</f>
        <v>1</v>
      </c>
      <c r="V136" s="29">
        <f t="shared" si="33"/>
        <v>5.3333333333333337E-2</v>
      </c>
      <c r="W136" s="18" t="b">
        <f>TRUE()</f>
        <v>1</v>
      </c>
      <c r="X136" s="19"/>
      <c r="Y136" s="18" t="b">
        <f>FALSE()</f>
        <v>0</v>
      </c>
    </row>
    <row r="137" spans="1:26" ht="14" x14ac:dyDescent="0.25">
      <c r="A137" s="10">
        <v>133</v>
      </c>
      <c r="B137" s="27" t="s">
        <v>132</v>
      </c>
      <c r="C137" s="27" t="s">
        <v>166</v>
      </c>
      <c r="D137" s="28">
        <v>46177</v>
      </c>
      <c r="E137" s="28">
        <v>46203</v>
      </c>
      <c r="F137" s="13">
        <f t="shared" si="34"/>
        <v>27</v>
      </c>
      <c r="G137" s="13">
        <v>1800</v>
      </c>
      <c r="H137" s="41">
        <v>3240</v>
      </c>
      <c r="I137" s="52">
        <f t="shared" si="35"/>
        <v>6.6666666666666666E-2</v>
      </c>
      <c r="J137" s="30" t="str">
        <f t="shared" si="36"/>
        <v/>
      </c>
      <c r="K137" s="24" t="b">
        <f>FALSE()</f>
        <v>0</v>
      </c>
      <c r="L137" s="25">
        <f t="shared" si="37"/>
        <v>6.6666666666666666E-2</v>
      </c>
      <c r="M137" s="26" t="b">
        <f>TRUE()</f>
        <v>1</v>
      </c>
      <c r="N137" s="23">
        <f t="shared" si="38"/>
        <v>6.6666666666666666E-2</v>
      </c>
      <c r="O137" s="24" t="b">
        <f>TRUE()</f>
        <v>1</v>
      </c>
      <c r="P137" s="25">
        <f t="shared" si="39"/>
        <v>6.6666666666666666E-2</v>
      </c>
      <c r="Q137" s="26" t="b">
        <f>TRUE()</f>
        <v>1</v>
      </c>
      <c r="R137" s="23">
        <f t="shared" si="40"/>
        <v>6.6666666666666666E-2</v>
      </c>
      <c r="S137" s="24" t="b">
        <f>TRUE()</f>
        <v>1</v>
      </c>
      <c r="T137" s="26" t="str">
        <f t="shared" si="41"/>
        <v/>
      </c>
      <c r="U137" s="24" t="b">
        <f>FALSE()</f>
        <v>0</v>
      </c>
      <c r="V137" s="26" t="str">
        <f t="shared" si="33"/>
        <v/>
      </c>
      <c r="W137" s="24" t="b">
        <f>FALSE()</f>
        <v>0</v>
      </c>
      <c r="X137" s="26" t="str">
        <f>IF(Y137=TRUE(),$I137,"")</f>
        <v/>
      </c>
      <c r="Y137" s="24" t="b">
        <f>FALSE()</f>
        <v>0</v>
      </c>
    </row>
    <row r="138" spans="1:26" ht="14" x14ac:dyDescent="0.25">
      <c r="A138" s="10">
        <v>134</v>
      </c>
      <c r="B138" s="27" t="s">
        <v>167</v>
      </c>
      <c r="C138" s="27" t="s">
        <v>168</v>
      </c>
      <c r="D138" s="28">
        <v>46177</v>
      </c>
      <c r="E138" s="28">
        <v>46206</v>
      </c>
      <c r="F138" s="13">
        <f t="shared" si="34"/>
        <v>30</v>
      </c>
      <c r="G138" s="13">
        <v>450</v>
      </c>
      <c r="H138" s="41">
        <v>900</v>
      </c>
      <c r="I138" s="52">
        <f t="shared" si="35"/>
        <v>6.6666666666666666E-2</v>
      </c>
      <c r="J138" s="17" t="str">
        <f t="shared" si="36"/>
        <v/>
      </c>
      <c r="K138" s="18" t="b">
        <f>FALSE()</f>
        <v>0</v>
      </c>
      <c r="L138" s="19" t="str">
        <f t="shared" si="37"/>
        <v/>
      </c>
      <c r="M138" s="19" t="b">
        <f>FALSE()</f>
        <v>0</v>
      </c>
      <c r="N138" s="17" t="str">
        <f t="shared" si="38"/>
        <v/>
      </c>
      <c r="O138" s="18" t="b">
        <f>FALSE()</f>
        <v>0</v>
      </c>
      <c r="P138" s="29">
        <f t="shared" si="39"/>
        <v>6.6666666666666666E-2</v>
      </c>
      <c r="Q138" s="19" t="b">
        <f>TRUE()</f>
        <v>1</v>
      </c>
      <c r="R138" s="17" t="str">
        <f t="shared" si="40"/>
        <v/>
      </c>
      <c r="S138" s="18" t="b">
        <f>FALSE()</f>
        <v>0</v>
      </c>
      <c r="T138" s="19" t="str">
        <f t="shared" si="41"/>
        <v/>
      </c>
      <c r="U138" s="18" t="b">
        <f>FALSE()</f>
        <v>0</v>
      </c>
      <c r="V138" s="19" t="str">
        <f t="shared" si="33"/>
        <v/>
      </c>
      <c r="W138" s="18" t="b">
        <f>FALSE()</f>
        <v>0</v>
      </c>
      <c r="X138" s="19" t="str">
        <f>IF(Y138=TRUE(),$I138,"")</f>
        <v/>
      </c>
      <c r="Y138" s="18" t="b">
        <f>FALSE()</f>
        <v>0</v>
      </c>
    </row>
    <row r="139" spans="1:26" ht="14" x14ac:dyDescent="0.25">
      <c r="A139" s="10">
        <v>135</v>
      </c>
      <c r="B139" s="27" t="s">
        <v>169</v>
      </c>
      <c r="C139" s="27" t="s">
        <v>166</v>
      </c>
      <c r="D139" s="28">
        <v>46184</v>
      </c>
      <c r="E139" s="28">
        <v>46219</v>
      </c>
      <c r="F139" s="13">
        <f t="shared" si="34"/>
        <v>36</v>
      </c>
      <c r="G139" s="13">
        <v>900</v>
      </c>
      <c r="H139" s="41">
        <v>1800</v>
      </c>
      <c r="I139" s="52">
        <f t="shared" si="35"/>
        <v>5.5555555555555552E-2</v>
      </c>
      <c r="J139" s="30" t="str">
        <f t="shared" si="36"/>
        <v/>
      </c>
      <c r="K139" s="24" t="b">
        <f>FALSE()</f>
        <v>0</v>
      </c>
      <c r="L139" s="26" t="str">
        <f t="shared" si="37"/>
        <v/>
      </c>
      <c r="M139" s="26" t="b">
        <f>FALSE()</f>
        <v>0</v>
      </c>
      <c r="N139" s="30" t="str">
        <f t="shared" si="38"/>
        <v/>
      </c>
      <c r="O139" s="24" t="b">
        <f>FALSE()</f>
        <v>0</v>
      </c>
      <c r="P139" s="25">
        <f t="shared" si="39"/>
        <v>5.5555555555555552E-2</v>
      </c>
      <c r="Q139" s="26" t="b">
        <f>TRUE()</f>
        <v>1</v>
      </c>
      <c r="R139" s="23">
        <f t="shared" si="40"/>
        <v>5.5555555555555552E-2</v>
      </c>
      <c r="S139" s="24" t="b">
        <f>TRUE()</f>
        <v>1</v>
      </c>
      <c r="T139" s="26" t="str">
        <f t="shared" si="41"/>
        <v/>
      </c>
      <c r="U139" s="24" t="b">
        <f>FALSE()</f>
        <v>0</v>
      </c>
      <c r="V139" s="26" t="str">
        <f t="shared" si="33"/>
        <v/>
      </c>
      <c r="W139" s="24" t="b">
        <f>FALSE()</f>
        <v>0</v>
      </c>
      <c r="X139" s="26" t="str">
        <f>IF(Y139=TRUE(),$I139,"")</f>
        <v/>
      </c>
      <c r="Y139" s="24" t="b">
        <f>FALSE()</f>
        <v>0</v>
      </c>
    </row>
    <row r="140" spans="1:26" ht="14" x14ac:dyDescent="0.25">
      <c r="A140" s="10">
        <v>136</v>
      </c>
      <c r="B140" s="27" t="s">
        <v>170</v>
      </c>
      <c r="C140" s="27"/>
      <c r="D140" s="28">
        <v>46178</v>
      </c>
      <c r="E140" s="28">
        <v>46180</v>
      </c>
      <c r="F140" s="13">
        <f t="shared" si="34"/>
        <v>3</v>
      </c>
      <c r="G140" s="13">
        <v>1800</v>
      </c>
      <c r="H140" s="41">
        <v>486</v>
      </c>
      <c r="I140" s="52">
        <f t="shared" si="35"/>
        <v>0.09</v>
      </c>
      <c r="J140" s="17" t="str">
        <f t="shared" si="36"/>
        <v/>
      </c>
      <c r="K140" s="18" t="b">
        <f>FALSE()</f>
        <v>0</v>
      </c>
      <c r="L140" s="19" t="str">
        <f t="shared" si="37"/>
        <v/>
      </c>
      <c r="M140" s="19" t="b">
        <f>FALSE()</f>
        <v>0</v>
      </c>
      <c r="N140" s="31">
        <f t="shared" si="38"/>
        <v>0.09</v>
      </c>
      <c r="O140" s="18" t="b">
        <f>TRUE()</f>
        <v>1</v>
      </c>
      <c r="P140" s="29">
        <f t="shared" si="39"/>
        <v>0.09</v>
      </c>
      <c r="Q140" s="19" t="b">
        <f>TRUE()</f>
        <v>1</v>
      </c>
      <c r="R140" s="17" t="str">
        <f t="shared" si="40"/>
        <v/>
      </c>
      <c r="S140" s="18" t="b">
        <f>FALSE()</f>
        <v>0</v>
      </c>
      <c r="T140" s="19" t="str">
        <f t="shared" si="41"/>
        <v/>
      </c>
      <c r="U140" s="18" t="b">
        <f>FALSE()</f>
        <v>0</v>
      </c>
      <c r="V140" s="19" t="str">
        <f t="shared" si="33"/>
        <v/>
      </c>
      <c r="W140" s="18" t="b">
        <f>FALSE()</f>
        <v>0</v>
      </c>
      <c r="X140" s="19" t="str">
        <f>IF(Y140=TRUE(),$I140,"")</f>
        <v/>
      </c>
      <c r="Y140" s="18" t="b">
        <f>FALSE()</f>
        <v>0</v>
      </c>
    </row>
    <row r="141" spans="1:26" ht="14" x14ac:dyDescent="0.3">
      <c r="A141" s="10">
        <v>137</v>
      </c>
      <c r="B141" s="27" t="s">
        <v>171</v>
      </c>
      <c r="C141" s="27" t="s">
        <v>172</v>
      </c>
      <c r="D141" s="28">
        <v>46178</v>
      </c>
      <c r="E141" s="28">
        <v>46207</v>
      </c>
      <c r="F141" s="13">
        <f t="shared" si="34"/>
        <v>30</v>
      </c>
      <c r="G141" s="13">
        <v>450</v>
      </c>
      <c r="H141" s="41">
        <v>810</v>
      </c>
      <c r="I141" s="52">
        <f t="shared" si="35"/>
        <v>0.06</v>
      </c>
      <c r="J141" s="17" t="str">
        <f t="shared" si="36"/>
        <v/>
      </c>
      <c r="K141" s="18" t="b">
        <f>FALSE()</f>
        <v>0</v>
      </c>
      <c r="L141" s="19" t="str">
        <f t="shared" si="37"/>
        <v/>
      </c>
      <c r="M141" s="19" t="b">
        <f>FALSE()</f>
        <v>0</v>
      </c>
      <c r="N141" s="17" t="str">
        <f t="shared" si="38"/>
        <v/>
      </c>
      <c r="O141" s="18" t="b">
        <f>FALSE()</f>
        <v>0</v>
      </c>
      <c r="P141" s="29">
        <f t="shared" si="39"/>
        <v>0.06</v>
      </c>
      <c r="Q141" s="19" t="b">
        <f>TRUE()</f>
        <v>1</v>
      </c>
      <c r="R141" s="17" t="str">
        <f t="shared" si="40"/>
        <v/>
      </c>
      <c r="S141" s="18" t="b">
        <f>FALSE()</f>
        <v>0</v>
      </c>
      <c r="T141" s="19" t="str">
        <f t="shared" si="41"/>
        <v/>
      </c>
      <c r="U141" s="18" t="b">
        <f>FALSE()</f>
        <v>0</v>
      </c>
      <c r="V141" s="19" t="str">
        <f t="shared" si="33"/>
        <v/>
      </c>
      <c r="W141" s="18" t="b">
        <f>FALSE()</f>
        <v>0</v>
      </c>
      <c r="X141" s="19"/>
      <c r="Y141" s="18" t="b">
        <f>FALSE()</f>
        <v>0</v>
      </c>
      <c r="Z141" s="54" t="s">
        <v>173</v>
      </c>
    </row>
    <row r="142" spans="1:26" ht="14" x14ac:dyDescent="0.25">
      <c r="A142" s="10">
        <v>138</v>
      </c>
      <c r="B142" s="27" t="s">
        <v>21</v>
      </c>
      <c r="C142" s="27" t="s">
        <v>174</v>
      </c>
      <c r="D142" s="28">
        <v>46181</v>
      </c>
      <c r="E142" s="28">
        <v>46213</v>
      </c>
      <c r="F142" s="13">
        <f t="shared" si="34"/>
        <v>33</v>
      </c>
      <c r="G142" s="13">
        <v>1500</v>
      </c>
      <c r="H142" s="41">
        <v>1800</v>
      </c>
      <c r="I142" s="52">
        <f t="shared" si="35"/>
        <v>3.6363636363636362E-2</v>
      </c>
      <c r="J142" s="30" t="str">
        <f t="shared" si="36"/>
        <v/>
      </c>
      <c r="K142" s="24" t="b">
        <f>FALSE()</f>
        <v>0</v>
      </c>
      <c r="L142" s="25">
        <f t="shared" si="37"/>
        <v>3.6363636363636362E-2</v>
      </c>
      <c r="M142" s="26" t="b">
        <f>TRUE()</f>
        <v>1</v>
      </c>
      <c r="N142" s="23">
        <f t="shared" si="38"/>
        <v>3.6363636363636362E-2</v>
      </c>
      <c r="O142" s="24" t="b">
        <f>TRUE()</f>
        <v>1</v>
      </c>
      <c r="P142" s="25">
        <f t="shared" si="39"/>
        <v>3.6363636363636362E-2</v>
      </c>
      <c r="Q142" s="26" t="b">
        <f>TRUE()</f>
        <v>1</v>
      </c>
      <c r="R142" s="23">
        <f t="shared" si="40"/>
        <v>3.6363636363636362E-2</v>
      </c>
      <c r="S142" s="24" t="b">
        <f>TRUE()</f>
        <v>1</v>
      </c>
      <c r="T142" s="25">
        <f t="shared" si="41"/>
        <v>3.6363636363636362E-2</v>
      </c>
      <c r="U142" s="24" t="b">
        <f>TRUE()</f>
        <v>1</v>
      </c>
      <c r="V142" s="26" t="str">
        <f t="shared" si="33"/>
        <v/>
      </c>
      <c r="W142" s="24" t="b">
        <f>FALSE()</f>
        <v>0</v>
      </c>
      <c r="X142" s="26" t="str">
        <f>IF(Y142=TRUE(),$I142,"")</f>
        <v/>
      </c>
      <c r="Y142" s="24" t="b">
        <f>FALSE()</f>
        <v>0</v>
      </c>
    </row>
    <row r="143" spans="1:26" ht="14" x14ac:dyDescent="0.25">
      <c r="A143" s="10">
        <v>139</v>
      </c>
      <c r="B143" s="27" t="s">
        <v>175</v>
      </c>
      <c r="C143" s="27" t="s">
        <v>176</v>
      </c>
      <c r="D143" s="28">
        <v>46181</v>
      </c>
      <c r="E143" s="28">
        <v>46394</v>
      </c>
      <c r="F143" s="13">
        <f t="shared" si="34"/>
        <v>214</v>
      </c>
      <c r="G143" s="13">
        <v>900</v>
      </c>
      <c r="H143" s="41">
        <v>10500</v>
      </c>
      <c r="I143" s="52">
        <f t="shared" si="35"/>
        <v>5.4517133956386292E-2</v>
      </c>
      <c r="J143" s="31">
        <f t="shared" si="36"/>
        <v>5.4517133956386292E-2</v>
      </c>
      <c r="K143" s="18" t="b">
        <f>TRUE()</f>
        <v>1</v>
      </c>
      <c r="L143" s="29">
        <f t="shared" si="37"/>
        <v>5.4517133956386292E-2</v>
      </c>
      <c r="M143" s="19" t="b">
        <f>TRUE()</f>
        <v>1</v>
      </c>
      <c r="N143" s="31">
        <f t="shared" si="38"/>
        <v>5.4517133956386292E-2</v>
      </c>
      <c r="O143" s="18" t="b">
        <f>TRUE()</f>
        <v>1</v>
      </c>
      <c r="P143" s="19" t="str">
        <f t="shared" si="39"/>
        <v/>
      </c>
      <c r="Q143" s="19" t="b">
        <f>FALSE()</f>
        <v>0</v>
      </c>
      <c r="R143" s="17" t="str">
        <f t="shared" si="40"/>
        <v/>
      </c>
      <c r="S143" s="18" t="b">
        <f>FALSE()</f>
        <v>0</v>
      </c>
      <c r="T143" s="19" t="str">
        <f t="shared" si="41"/>
        <v/>
      </c>
      <c r="U143" s="18" t="b">
        <f>FALSE()</f>
        <v>0</v>
      </c>
      <c r="V143" s="19" t="str">
        <f t="shared" si="33"/>
        <v/>
      </c>
      <c r="W143" s="18" t="b">
        <f>FALSE()</f>
        <v>0</v>
      </c>
      <c r="X143" s="19" t="str">
        <f>IF(Y143=TRUE(),$I143,"")</f>
        <v/>
      </c>
      <c r="Y143" s="18" t="b">
        <f>FALSE()</f>
        <v>0</v>
      </c>
    </row>
    <row r="144" spans="1:26" ht="14" x14ac:dyDescent="0.25">
      <c r="A144" s="10">
        <v>140</v>
      </c>
      <c r="B144" s="27" t="s">
        <v>51</v>
      </c>
      <c r="C144" s="27" t="s">
        <v>166</v>
      </c>
      <c r="D144" s="28">
        <v>46191</v>
      </c>
      <c r="E144" s="28">
        <v>46251</v>
      </c>
      <c r="F144" s="13">
        <f t="shared" si="34"/>
        <v>61</v>
      </c>
      <c r="G144" s="13">
        <v>300</v>
      </c>
      <c r="H144" s="41">
        <v>550</v>
      </c>
      <c r="I144" s="52">
        <f t="shared" si="35"/>
        <v>3.0054644808743168E-2</v>
      </c>
      <c r="J144" s="30" t="str">
        <f t="shared" si="36"/>
        <v/>
      </c>
      <c r="K144" s="24" t="b">
        <f>FALSE()</f>
        <v>0</v>
      </c>
      <c r="L144" s="26" t="str">
        <f t="shared" si="37"/>
        <v/>
      </c>
      <c r="M144" s="26" t="b">
        <f>FALSE()</f>
        <v>0</v>
      </c>
      <c r="N144" s="30" t="str">
        <f t="shared" si="38"/>
        <v/>
      </c>
      <c r="O144" s="24" t="b">
        <f>FALSE()</f>
        <v>0</v>
      </c>
      <c r="P144" s="25">
        <f t="shared" si="39"/>
        <v>3.0054644808743168E-2</v>
      </c>
      <c r="Q144" s="26" t="b">
        <f>TRUE()</f>
        <v>1</v>
      </c>
      <c r="R144" s="30" t="str">
        <f t="shared" si="40"/>
        <v/>
      </c>
      <c r="S144" s="24" t="b">
        <f>FALSE()</f>
        <v>0</v>
      </c>
      <c r="T144" s="26" t="str">
        <f t="shared" si="41"/>
        <v/>
      </c>
      <c r="U144" s="24" t="b">
        <f>FALSE()</f>
        <v>0</v>
      </c>
      <c r="V144" s="26" t="str">
        <f t="shared" si="33"/>
        <v/>
      </c>
      <c r="W144" s="24" t="b">
        <f>FALSE()</f>
        <v>0</v>
      </c>
      <c r="X144" s="26" t="str">
        <f>IF(Y144=TRUE(),$I144,"")</f>
        <v/>
      </c>
      <c r="Y144" s="24" t="b">
        <f>FALSE()</f>
        <v>0</v>
      </c>
    </row>
    <row r="145" spans="1:26" ht="14" x14ac:dyDescent="0.25">
      <c r="A145" s="10">
        <v>141</v>
      </c>
      <c r="B145" s="27" t="s">
        <v>91</v>
      </c>
      <c r="C145" s="27" t="s">
        <v>177</v>
      </c>
      <c r="D145" s="28">
        <v>46182</v>
      </c>
      <c r="E145" s="28">
        <v>46211</v>
      </c>
      <c r="F145" s="13">
        <f t="shared" si="34"/>
        <v>30</v>
      </c>
      <c r="G145" s="13">
        <v>900</v>
      </c>
      <c r="H145" s="41">
        <v>1350</v>
      </c>
      <c r="I145" s="52">
        <f t="shared" si="35"/>
        <v>0.05</v>
      </c>
      <c r="J145" s="17" t="str">
        <f t="shared" si="36"/>
        <v/>
      </c>
      <c r="K145" s="18" t="b">
        <f>FALSE()</f>
        <v>0</v>
      </c>
      <c r="L145" s="19" t="str">
        <f t="shared" si="37"/>
        <v/>
      </c>
      <c r="M145" s="19" t="b">
        <f>FALSE()</f>
        <v>0</v>
      </c>
      <c r="N145" s="31">
        <f t="shared" si="38"/>
        <v>0.05</v>
      </c>
      <c r="O145" s="18" t="b">
        <f>TRUE()</f>
        <v>1</v>
      </c>
      <c r="P145" s="29">
        <f t="shared" si="39"/>
        <v>0.05</v>
      </c>
      <c r="Q145" s="19" t="b">
        <f>TRUE()</f>
        <v>1</v>
      </c>
      <c r="R145" s="17" t="str">
        <f t="shared" si="40"/>
        <v/>
      </c>
      <c r="S145" s="18" t="b">
        <f>FALSE()</f>
        <v>0</v>
      </c>
      <c r="T145" s="19" t="str">
        <f t="shared" si="41"/>
        <v/>
      </c>
      <c r="U145" s="18" t="b">
        <f>FALSE()</f>
        <v>0</v>
      </c>
      <c r="V145" s="19" t="str">
        <f t="shared" si="33"/>
        <v/>
      </c>
      <c r="W145" s="18" t="b">
        <f>FALSE()</f>
        <v>0</v>
      </c>
      <c r="X145" s="19" t="str">
        <f>IF(Y145=TRUE(),$I145,"")</f>
        <v/>
      </c>
      <c r="Y145" s="18" t="b">
        <f>FALSE()</f>
        <v>0</v>
      </c>
    </row>
    <row r="146" spans="1:26" ht="14" x14ac:dyDescent="0.25">
      <c r="A146" s="10">
        <v>142</v>
      </c>
      <c r="B146" s="27" t="s">
        <v>110</v>
      </c>
      <c r="C146" s="27" t="s">
        <v>178</v>
      </c>
      <c r="D146" s="28">
        <v>46179</v>
      </c>
      <c r="E146" s="28">
        <v>46208</v>
      </c>
      <c r="F146" s="13">
        <f t="shared" si="34"/>
        <v>30</v>
      </c>
      <c r="G146" s="13">
        <v>900</v>
      </c>
      <c r="H146" s="41">
        <v>1485</v>
      </c>
      <c r="I146" s="52">
        <f t="shared" si="35"/>
        <v>5.5E-2</v>
      </c>
      <c r="J146" s="31">
        <f t="shared" si="36"/>
        <v>5.5E-2</v>
      </c>
      <c r="K146" s="18" t="b">
        <f>TRUE()</f>
        <v>1</v>
      </c>
      <c r="L146" s="19" t="str">
        <f t="shared" si="37"/>
        <v/>
      </c>
      <c r="M146" s="19" t="b">
        <f>FALSE()</f>
        <v>0</v>
      </c>
      <c r="N146" s="31">
        <f t="shared" si="38"/>
        <v>5.5E-2</v>
      </c>
      <c r="O146" s="18" t="b">
        <f>TRUE()</f>
        <v>1</v>
      </c>
      <c r="P146" s="19" t="str">
        <f t="shared" si="39"/>
        <v/>
      </c>
      <c r="Q146" s="19" t="b">
        <f>FALSE()</f>
        <v>0</v>
      </c>
      <c r="R146" s="17" t="str">
        <f t="shared" si="40"/>
        <v/>
      </c>
      <c r="S146" s="18" t="b">
        <f>FALSE()</f>
        <v>0</v>
      </c>
      <c r="T146" s="19" t="str">
        <f t="shared" si="41"/>
        <v/>
      </c>
      <c r="U146" s="18" t="b">
        <f>FALSE()</f>
        <v>0</v>
      </c>
      <c r="V146" s="19" t="str">
        <f t="shared" si="33"/>
        <v/>
      </c>
      <c r="W146" s="18" t="b">
        <f>FALSE()</f>
        <v>0</v>
      </c>
      <c r="X146" s="19"/>
      <c r="Y146" s="18" t="b">
        <f>FALSE()</f>
        <v>0</v>
      </c>
    </row>
    <row r="147" spans="1:26" ht="14" x14ac:dyDescent="0.25">
      <c r="A147" s="10">
        <v>143</v>
      </c>
      <c r="B147" s="27" t="s">
        <v>179</v>
      </c>
      <c r="C147" s="27" t="s">
        <v>180</v>
      </c>
      <c r="D147" s="28">
        <v>46184</v>
      </c>
      <c r="E147" s="28">
        <v>46222</v>
      </c>
      <c r="F147" s="13">
        <f t="shared" si="34"/>
        <v>39</v>
      </c>
      <c r="G147" s="13">
        <v>1800</v>
      </c>
      <c r="H147" s="41">
        <v>3500</v>
      </c>
      <c r="I147" s="52">
        <f t="shared" si="35"/>
        <v>4.9857549857549859E-2</v>
      </c>
      <c r="J147" s="23">
        <f t="shared" si="36"/>
        <v>4.9857549857549859E-2</v>
      </c>
      <c r="K147" s="24" t="b">
        <f>TRUE()</f>
        <v>1</v>
      </c>
      <c r="L147" s="25">
        <f t="shared" si="37"/>
        <v>4.9857549857549859E-2</v>
      </c>
      <c r="M147" s="26" t="b">
        <f>TRUE()</f>
        <v>1</v>
      </c>
      <c r="N147" s="30" t="str">
        <f t="shared" si="38"/>
        <v/>
      </c>
      <c r="O147" s="24" t="b">
        <f>FALSE()</f>
        <v>0</v>
      </c>
      <c r="P147" s="25">
        <f t="shared" si="39"/>
        <v>4.9857549857549859E-2</v>
      </c>
      <c r="Q147" s="26" t="b">
        <f>TRUE()</f>
        <v>1</v>
      </c>
      <c r="R147" s="30" t="str">
        <f t="shared" si="40"/>
        <v/>
      </c>
      <c r="S147" s="24" t="b">
        <f>FALSE()</f>
        <v>0</v>
      </c>
      <c r="T147" s="25">
        <f t="shared" si="41"/>
        <v>4.9857549857549859E-2</v>
      </c>
      <c r="U147" s="24" t="b">
        <f>TRUE()</f>
        <v>1</v>
      </c>
      <c r="V147" s="26" t="str">
        <f t="shared" si="33"/>
        <v/>
      </c>
      <c r="W147" s="24" t="b">
        <f>FALSE()</f>
        <v>0</v>
      </c>
      <c r="X147" s="26" t="str">
        <f t="shared" ref="X147:X178" si="42">IF(Y147=TRUE(),$I147,"")</f>
        <v/>
      </c>
      <c r="Y147" s="24" t="b">
        <f>FALSE()</f>
        <v>0</v>
      </c>
    </row>
    <row r="148" spans="1:26" ht="14" x14ac:dyDescent="0.25">
      <c r="A148" s="10">
        <v>144</v>
      </c>
      <c r="B148" s="27" t="s">
        <v>169</v>
      </c>
      <c r="C148" s="27" t="s">
        <v>79</v>
      </c>
      <c r="D148" s="28">
        <v>46184</v>
      </c>
      <c r="E148" s="28">
        <v>46219</v>
      </c>
      <c r="F148" s="13">
        <f t="shared" si="34"/>
        <v>36</v>
      </c>
      <c r="G148" s="13">
        <v>900</v>
      </c>
      <c r="H148" s="41">
        <v>1800</v>
      </c>
      <c r="I148" s="52">
        <f t="shared" si="35"/>
        <v>5.5555555555555552E-2</v>
      </c>
      <c r="J148" s="17" t="str">
        <f t="shared" si="36"/>
        <v/>
      </c>
      <c r="K148" s="18" t="b">
        <f>FALSE()</f>
        <v>0</v>
      </c>
      <c r="L148" s="19" t="str">
        <f t="shared" si="37"/>
        <v/>
      </c>
      <c r="M148" s="19" t="b">
        <f>FALSE()</f>
        <v>0</v>
      </c>
      <c r="N148" s="17" t="str">
        <f t="shared" si="38"/>
        <v/>
      </c>
      <c r="O148" s="18" t="b">
        <f>FALSE()</f>
        <v>0</v>
      </c>
      <c r="P148" s="29">
        <f t="shared" si="39"/>
        <v>5.5555555555555552E-2</v>
      </c>
      <c r="Q148" s="19" t="b">
        <f>TRUE()</f>
        <v>1</v>
      </c>
      <c r="R148" s="31">
        <f t="shared" si="40"/>
        <v>5.5555555555555552E-2</v>
      </c>
      <c r="S148" s="18" t="b">
        <f>TRUE()</f>
        <v>1</v>
      </c>
      <c r="T148" s="19" t="str">
        <f t="shared" si="41"/>
        <v/>
      </c>
      <c r="U148" s="18" t="b">
        <f>FALSE()</f>
        <v>0</v>
      </c>
      <c r="V148" s="19" t="str">
        <f t="shared" si="33"/>
        <v/>
      </c>
      <c r="W148" s="18" t="b">
        <f>FALSE()</f>
        <v>0</v>
      </c>
      <c r="X148" s="19" t="str">
        <f t="shared" si="42"/>
        <v/>
      </c>
      <c r="Y148" s="18" t="b">
        <f>FALSE()</f>
        <v>0</v>
      </c>
    </row>
    <row r="149" spans="1:26" ht="14" x14ac:dyDescent="0.25">
      <c r="A149" s="10">
        <v>145</v>
      </c>
      <c r="B149" s="27" t="s">
        <v>181</v>
      </c>
      <c r="C149" s="27" t="s">
        <v>182</v>
      </c>
      <c r="D149" s="28">
        <v>46184</v>
      </c>
      <c r="E149" s="28">
        <v>46213</v>
      </c>
      <c r="F149" s="13">
        <f t="shared" si="34"/>
        <v>30</v>
      </c>
      <c r="G149" s="13">
        <v>1800</v>
      </c>
      <c r="H149" s="41">
        <v>3500</v>
      </c>
      <c r="I149" s="52">
        <f t="shared" si="35"/>
        <v>6.4814814814814811E-2</v>
      </c>
      <c r="J149" s="30" t="str">
        <f t="shared" si="36"/>
        <v/>
      </c>
      <c r="K149" s="24" t="b">
        <f>FALSE()</f>
        <v>0</v>
      </c>
      <c r="L149" s="26" t="str">
        <f t="shared" si="37"/>
        <v/>
      </c>
      <c r="M149" s="26" t="b">
        <f>FALSE()</f>
        <v>0</v>
      </c>
      <c r="N149" s="23">
        <f t="shared" si="38"/>
        <v>6.4814814814814811E-2</v>
      </c>
      <c r="O149" s="24" t="b">
        <f>TRUE()</f>
        <v>1</v>
      </c>
      <c r="P149" s="25">
        <f t="shared" si="39"/>
        <v>6.4814814814814811E-2</v>
      </c>
      <c r="Q149" s="26" t="b">
        <f>TRUE()</f>
        <v>1</v>
      </c>
      <c r="R149" s="23">
        <f t="shared" si="40"/>
        <v>6.4814814814814811E-2</v>
      </c>
      <c r="S149" s="24" t="b">
        <f>TRUE()</f>
        <v>1</v>
      </c>
      <c r="T149" s="25">
        <f t="shared" si="41"/>
        <v>6.4814814814814811E-2</v>
      </c>
      <c r="U149" s="24" t="b">
        <f>TRUE()</f>
        <v>1</v>
      </c>
      <c r="V149" s="26" t="str">
        <f t="shared" si="33"/>
        <v/>
      </c>
      <c r="W149" s="24" t="b">
        <f>FALSE()</f>
        <v>0</v>
      </c>
      <c r="X149" s="26" t="str">
        <f t="shared" si="42"/>
        <v/>
      </c>
      <c r="Y149" s="24" t="b">
        <f>FALSE()</f>
        <v>0</v>
      </c>
    </row>
    <row r="150" spans="1:26" ht="14" x14ac:dyDescent="0.25">
      <c r="A150" s="10">
        <v>146</v>
      </c>
      <c r="B150" s="27" t="s">
        <v>46</v>
      </c>
      <c r="C150" s="27" t="s">
        <v>183</v>
      </c>
      <c r="D150" s="28">
        <v>46184</v>
      </c>
      <c r="E150" s="28">
        <v>46222</v>
      </c>
      <c r="F150" s="13">
        <f t="shared" si="34"/>
        <v>39</v>
      </c>
      <c r="G150" s="13">
        <v>1350</v>
      </c>
      <c r="H150" s="41">
        <v>2700</v>
      </c>
      <c r="I150" s="52">
        <f t="shared" si="35"/>
        <v>5.128205128205128E-2</v>
      </c>
      <c r="J150" s="31">
        <f t="shared" si="36"/>
        <v>5.128205128205128E-2</v>
      </c>
      <c r="K150" s="18" t="b">
        <f>TRUE()</f>
        <v>1</v>
      </c>
      <c r="L150" s="19" t="str">
        <f t="shared" si="37"/>
        <v/>
      </c>
      <c r="M150" s="19" t="b">
        <f>FALSE()</f>
        <v>0</v>
      </c>
      <c r="N150" s="17" t="str">
        <f t="shared" si="38"/>
        <v/>
      </c>
      <c r="O150" s="18" t="b">
        <f>FALSE()</f>
        <v>0</v>
      </c>
      <c r="P150" s="29">
        <f t="shared" si="39"/>
        <v>5.128205128205128E-2</v>
      </c>
      <c r="Q150" s="19" t="b">
        <f>TRUE()</f>
        <v>1</v>
      </c>
      <c r="R150" s="31">
        <f t="shared" si="40"/>
        <v>5.128205128205128E-2</v>
      </c>
      <c r="S150" s="18" t="b">
        <f>TRUE()</f>
        <v>1</v>
      </c>
      <c r="T150" s="19" t="str">
        <f t="shared" si="41"/>
        <v/>
      </c>
      <c r="U150" s="18" t="b">
        <f>FALSE()</f>
        <v>0</v>
      </c>
      <c r="V150" s="19" t="str">
        <f t="shared" si="33"/>
        <v/>
      </c>
      <c r="W150" s="18" t="b">
        <f>FALSE()</f>
        <v>0</v>
      </c>
      <c r="X150" s="19" t="str">
        <f t="shared" si="42"/>
        <v/>
      </c>
      <c r="Y150" s="18" t="b">
        <f>FALSE()</f>
        <v>0</v>
      </c>
    </row>
    <row r="151" spans="1:26" ht="14" x14ac:dyDescent="0.3">
      <c r="A151" s="10">
        <v>149</v>
      </c>
      <c r="B151" s="27" t="s">
        <v>98</v>
      </c>
      <c r="C151" s="27" t="s">
        <v>79</v>
      </c>
      <c r="D151" s="28">
        <v>46174</v>
      </c>
      <c r="E151" s="28">
        <v>46203</v>
      </c>
      <c r="F151" s="13">
        <f t="shared" si="34"/>
        <v>30</v>
      </c>
      <c r="G151" s="13">
        <v>1200</v>
      </c>
      <c r="H151" s="41">
        <v>1500</v>
      </c>
      <c r="I151" s="52">
        <f t="shared" si="35"/>
        <v>4.1666666666666664E-2</v>
      </c>
      <c r="J151" s="30" t="str">
        <f t="shared" si="36"/>
        <v/>
      </c>
      <c r="K151" s="24" t="b">
        <f>FALSE()</f>
        <v>0</v>
      </c>
      <c r="L151" s="26" t="str">
        <f t="shared" si="37"/>
        <v/>
      </c>
      <c r="M151" s="26" t="b">
        <f>FALSE()</f>
        <v>0</v>
      </c>
      <c r="N151" s="23">
        <f t="shared" si="38"/>
        <v>4.1666666666666664E-2</v>
      </c>
      <c r="O151" s="24" t="b">
        <f>TRUE()</f>
        <v>1</v>
      </c>
      <c r="P151" s="25">
        <f t="shared" si="39"/>
        <v>4.1666666666666664E-2</v>
      </c>
      <c r="Q151" s="26" t="b">
        <f>TRUE()</f>
        <v>1</v>
      </c>
      <c r="R151" s="23">
        <f t="shared" si="40"/>
        <v>4.1666666666666664E-2</v>
      </c>
      <c r="S151" s="24" t="b">
        <f>TRUE()</f>
        <v>1</v>
      </c>
      <c r="T151" s="25">
        <f t="shared" si="41"/>
        <v>4.1666666666666664E-2</v>
      </c>
      <c r="U151" s="24" t="b">
        <f>TRUE()</f>
        <v>1</v>
      </c>
      <c r="V151" s="26" t="str">
        <f t="shared" si="33"/>
        <v/>
      </c>
      <c r="W151" s="24" t="b">
        <f>FALSE()</f>
        <v>0</v>
      </c>
      <c r="X151" s="26" t="str">
        <f t="shared" si="42"/>
        <v/>
      </c>
      <c r="Y151" s="24" t="b">
        <f>FALSE()</f>
        <v>0</v>
      </c>
      <c r="Z151" s="54" t="s">
        <v>184</v>
      </c>
    </row>
    <row r="152" spans="1:26" ht="14" x14ac:dyDescent="0.3">
      <c r="A152" s="10">
        <v>150</v>
      </c>
      <c r="B152" s="27" t="s">
        <v>185</v>
      </c>
      <c r="C152" s="27" t="s">
        <v>186</v>
      </c>
      <c r="D152" s="28">
        <v>46184</v>
      </c>
      <c r="E152" s="28">
        <v>46203</v>
      </c>
      <c r="F152" s="13">
        <f t="shared" si="34"/>
        <v>20</v>
      </c>
      <c r="G152" s="13">
        <v>900</v>
      </c>
      <c r="H152" s="41">
        <v>0</v>
      </c>
      <c r="I152" s="52">
        <f t="shared" si="35"/>
        <v>0</v>
      </c>
      <c r="J152" s="17" t="str">
        <f t="shared" si="36"/>
        <v/>
      </c>
      <c r="K152" s="18" t="b">
        <f>FALSE()</f>
        <v>0</v>
      </c>
      <c r="L152" s="19" t="str">
        <f t="shared" si="37"/>
        <v/>
      </c>
      <c r="M152" s="19" t="b">
        <f>FALSE()</f>
        <v>0</v>
      </c>
      <c r="N152" s="17" t="str">
        <f t="shared" si="38"/>
        <v/>
      </c>
      <c r="O152" s="18" t="b">
        <f>FALSE()</f>
        <v>0</v>
      </c>
      <c r="P152" s="19" t="str">
        <f t="shared" si="39"/>
        <v/>
      </c>
      <c r="Q152" s="19" t="b">
        <f>FALSE()</f>
        <v>0</v>
      </c>
      <c r="R152" s="17" t="str">
        <f t="shared" si="40"/>
        <v/>
      </c>
      <c r="S152" s="18" t="b">
        <f>FALSE()</f>
        <v>0</v>
      </c>
      <c r="T152" s="19" t="str">
        <f t="shared" si="41"/>
        <v/>
      </c>
      <c r="U152" s="18" t="b">
        <f>FALSE()</f>
        <v>0</v>
      </c>
      <c r="V152" s="19" t="str">
        <f t="shared" si="33"/>
        <v/>
      </c>
      <c r="W152" s="18" t="b">
        <f>FALSE()</f>
        <v>0</v>
      </c>
      <c r="X152" s="29">
        <f t="shared" si="42"/>
        <v>0</v>
      </c>
      <c r="Y152" s="18" t="b">
        <f>TRUE()</f>
        <v>1</v>
      </c>
      <c r="Z152" s="54" t="s">
        <v>187</v>
      </c>
    </row>
    <row r="153" spans="1:26" ht="14" x14ac:dyDescent="0.3">
      <c r="A153" s="10">
        <v>151</v>
      </c>
      <c r="B153" s="27" t="s">
        <v>188</v>
      </c>
      <c r="C153" s="27" t="s">
        <v>189</v>
      </c>
      <c r="D153" s="28">
        <v>46185</v>
      </c>
      <c r="E153" s="28">
        <v>46193</v>
      </c>
      <c r="F153" s="13">
        <f t="shared" si="34"/>
        <v>9</v>
      </c>
      <c r="G153" s="13">
        <v>450</v>
      </c>
      <c r="H153" s="41">
        <v>0</v>
      </c>
      <c r="I153" s="52">
        <f t="shared" si="35"/>
        <v>0</v>
      </c>
      <c r="J153" s="30" t="str">
        <f t="shared" si="36"/>
        <v/>
      </c>
      <c r="K153" s="24" t="b">
        <f>FALSE()</f>
        <v>0</v>
      </c>
      <c r="L153" s="26" t="str">
        <f t="shared" si="37"/>
        <v/>
      </c>
      <c r="M153" s="26" t="b">
        <f>FALSE()</f>
        <v>0</v>
      </c>
      <c r="N153" s="30" t="str">
        <f t="shared" si="38"/>
        <v/>
      </c>
      <c r="O153" s="24" t="b">
        <f>FALSE()</f>
        <v>0</v>
      </c>
      <c r="P153" s="26" t="str">
        <f t="shared" si="39"/>
        <v/>
      </c>
      <c r="Q153" s="26" t="b">
        <f>FALSE()</f>
        <v>0</v>
      </c>
      <c r="R153" s="30" t="str">
        <f t="shared" si="40"/>
        <v/>
      </c>
      <c r="S153" s="24" t="b">
        <f>FALSE()</f>
        <v>0</v>
      </c>
      <c r="T153" s="26" t="str">
        <f t="shared" si="41"/>
        <v/>
      </c>
      <c r="U153" s="24" t="b">
        <f>FALSE()</f>
        <v>0</v>
      </c>
      <c r="V153" s="25">
        <f t="shared" ref="V153:V184" si="43">IF(W153=TRUE(),$I153,"")</f>
        <v>0</v>
      </c>
      <c r="W153" s="24" t="b">
        <f>TRUE()</f>
        <v>1</v>
      </c>
      <c r="X153" s="26" t="str">
        <f t="shared" si="42"/>
        <v/>
      </c>
      <c r="Y153" s="24" t="b">
        <f>FALSE()</f>
        <v>0</v>
      </c>
      <c r="Z153" s="54" t="s">
        <v>187</v>
      </c>
    </row>
    <row r="154" spans="1:26" ht="14" x14ac:dyDescent="0.3">
      <c r="A154" s="10">
        <v>152</v>
      </c>
      <c r="B154" s="27" t="s">
        <v>65</v>
      </c>
      <c r="C154" s="27" t="s">
        <v>166</v>
      </c>
      <c r="D154" s="28">
        <v>46188</v>
      </c>
      <c r="E154" s="28">
        <v>46217</v>
      </c>
      <c r="F154" s="13">
        <f t="shared" si="34"/>
        <v>30</v>
      </c>
      <c r="G154" s="13">
        <v>900</v>
      </c>
      <c r="H154" s="41">
        <v>1260</v>
      </c>
      <c r="I154" s="52">
        <f t="shared" si="35"/>
        <v>4.6666666666666669E-2</v>
      </c>
      <c r="J154" s="17" t="str">
        <f t="shared" si="36"/>
        <v/>
      </c>
      <c r="K154" s="18" t="b">
        <f>FALSE()</f>
        <v>0</v>
      </c>
      <c r="L154" s="19" t="str">
        <f t="shared" si="37"/>
        <v/>
      </c>
      <c r="M154" s="19" t="b">
        <f>FALSE()</f>
        <v>0</v>
      </c>
      <c r="N154" s="17" t="str">
        <f t="shared" si="38"/>
        <v/>
      </c>
      <c r="O154" s="18" t="b">
        <f>FALSE()</f>
        <v>0</v>
      </c>
      <c r="P154" s="29">
        <f t="shared" si="39"/>
        <v>4.6666666666666669E-2</v>
      </c>
      <c r="Q154" s="19" t="b">
        <f>TRUE()</f>
        <v>1</v>
      </c>
      <c r="R154" s="31">
        <f t="shared" si="40"/>
        <v>4.6666666666666669E-2</v>
      </c>
      <c r="S154" s="18" t="b">
        <f>TRUE()</f>
        <v>1</v>
      </c>
      <c r="T154" s="19" t="str">
        <f t="shared" si="41"/>
        <v/>
      </c>
      <c r="U154" s="18" t="b">
        <f>FALSE()</f>
        <v>0</v>
      </c>
      <c r="V154" s="19" t="str">
        <f t="shared" si="43"/>
        <v/>
      </c>
      <c r="W154" s="18" t="b">
        <f>FALSE()</f>
        <v>0</v>
      </c>
      <c r="X154" s="29">
        <f t="shared" si="42"/>
        <v>4.6666666666666669E-2</v>
      </c>
      <c r="Y154" s="18" t="b">
        <f>TRUE()</f>
        <v>1</v>
      </c>
      <c r="Z154" s="54" t="s">
        <v>190</v>
      </c>
    </row>
    <row r="155" spans="1:26" ht="14" x14ac:dyDescent="0.3">
      <c r="A155" s="10">
        <v>153</v>
      </c>
      <c r="B155" s="27" t="s">
        <v>191</v>
      </c>
      <c r="C155" s="27" t="s">
        <v>192</v>
      </c>
      <c r="D155" s="28">
        <v>46185</v>
      </c>
      <c r="E155" s="28">
        <v>46246</v>
      </c>
      <c r="F155" s="13">
        <f t="shared" si="34"/>
        <v>62</v>
      </c>
      <c r="G155" s="13">
        <v>2400</v>
      </c>
      <c r="H155" s="41">
        <v>0</v>
      </c>
      <c r="I155" s="52">
        <f t="shared" si="35"/>
        <v>0</v>
      </c>
      <c r="J155" s="23">
        <f t="shared" si="36"/>
        <v>0</v>
      </c>
      <c r="K155" s="24" t="b">
        <f>TRUE()</f>
        <v>1</v>
      </c>
      <c r="L155" s="25">
        <f t="shared" si="37"/>
        <v>0</v>
      </c>
      <c r="M155" s="26" t="b">
        <f>TRUE()</f>
        <v>1</v>
      </c>
      <c r="N155" s="23">
        <f t="shared" si="38"/>
        <v>0</v>
      </c>
      <c r="O155" s="24" t="b">
        <f>TRUE()</f>
        <v>1</v>
      </c>
      <c r="P155" s="25">
        <f t="shared" si="39"/>
        <v>0</v>
      </c>
      <c r="Q155" s="26" t="b">
        <f>TRUE()</f>
        <v>1</v>
      </c>
      <c r="R155" s="23">
        <f t="shared" si="40"/>
        <v>0</v>
      </c>
      <c r="S155" s="24" t="b">
        <f>TRUE()</f>
        <v>1</v>
      </c>
      <c r="T155" s="25">
        <f t="shared" si="41"/>
        <v>0</v>
      </c>
      <c r="U155" s="24" t="b">
        <f>TRUE()</f>
        <v>1</v>
      </c>
      <c r="V155" s="25">
        <f t="shared" si="43"/>
        <v>0</v>
      </c>
      <c r="W155" s="24" t="b">
        <f>TRUE()</f>
        <v>1</v>
      </c>
      <c r="X155" s="25">
        <f t="shared" si="42"/>
        <v>0</v>
      </c>
      <c r="Y155" s="24" t="b">
        <f>TRUE()</f>
        <v>1</v>
      </c>
      <c r="Z155" s="54" t="s">
        <v>193</v>
      </c>
    </row>
    <row r="156" spans="1:26" ht="14" x14ac:dyDescent="0.25">
      <c r="A156" s="10">
        <v>154</v>
      </c>
      <c r="B156" s="27" t="s">
        <v>194</v>
      </c>
      <c r="C156" s="27" t="s">
        <v>195</v>
      </c>
      <c r="D156" s="28">
        <v>46185</v>
      </c>
      <c r="E156" s="28">
        <v>46214</v>
      </c>
      <c r="F156" s="13">
        <f t="shared" si="34"/>
        <v>30</v>
      </c>
      <c r="G156" s="13">
        <v>900</v>
      </c>
      <c r="H156" s="41">
        <v>1890</v>
      </c>
      <c r="I156" s="52">
        <f t="shared" si="35"/>
        <v>7.0000000000000007E-2</v>
      </c>
      <c r="J156" s="17" t="str">
        <f t="shared" si="36"/>
        <v/>
      </c>
      <c r="K156" s="18" t="b">
        <f>FALSE()</f>
        <v>0</v>
      </c>
      <c r="L156" s="19" t="str">
        <f t="shared" si="37"/>
        <v/>
      </c>
      <c r="M156" s="19" t="b">
        <f>FALSE()</f>
        <v>0</v>
      </c>
      <c r="N156" s="31">
        <f t="shared" si="38"/>
        <v>7.0000000000000007E-2</v>
      </c>
      <c r="O156" s="18" t="b">
        <f>TRUE()</f>
        <v>1</v>
      </c>
      <c r="P156" s="29">
        <f t="shared" si="39"/>
        <v>7.0000000000000007E-2</v>
      </c>
      <c r="Q156" s="19" t="b">
        <f>TRUE()</f>
        <v>1</v>
      </c>
      <c r="R156" s="17" t="str">
        <f t="shared" si="40"/>
        <v/>
      </c>
      <c r="S156" s="18" t="b">
        <f>FALSE()</f>
        <v>0</v>
      </c>
      <c r="T156" s="19" t="str">
        <f t="shared" si="41"/>
        <v/>
      </c>
      <c r="U156" s="18" t="b">
        <f>FALSE()</f>
        <v>0</v>
      </c>
      <c r="V156" s="19" t="str">
        <f t="shared" si="43"/>
        <v/>
      </c>
      <c r="W156" s="18" t="b">
        <f>FALSE()</f>
        <v>0</v>
      </c>
      <c r="X156" s="19" t="str">
        <f t="shared" si="42"/>
        <v/>
      </c>
      <c r="Y156" s="18" t="b">
        <f>FALSE()</f>
        <v>0</v>
      </c>
    </row>
    <row r="157" spans="1:26" ht="14" x14ac:dyDescent="0.25">
      <c r="A157" s="10">
        <v>155</v>
      </c>
      <c r="B157" s="11" t="s">
        <v>196</v>
      </c>
      <c r="C157" s="11" t="s">
        <v>197</v>
      </c>
      <c r="D157" s="12">
        <v>46188</v>
      </c>
      <c r="E157" s="12">
        <v>46217</v>
      </c>
      <c r="F157" s="38">
        <f t="shared" si="34"/>
        <v>30</v>
      </c>
      <c r="G157" s="38">
        <v>1500</v>
      </c>
      <c r="H157" s="56">
        <v>1080</v>
      </c>
      <c r="I157" s="57">
        <f t="shared" si="35"/>
        <v>2.4E-2</v>
      </c>
      <c r="J157" s="58" t="str">
        <f t="shared" si="36"/>
        <v/>
      </c>
      <c r="K157" s="59" t="b">
        <f>FALSE()</f>
        <v>0</v>
      </c>
      <c r="L157" s="60">
        <f t="shared" si="37"/>
        <v>2.4E-2</v>
      </c>
      <c r="M157" s="61" t="b">
        <f>TRUE()</f>
        <v>1</v>
      </c>
      <c r="N157" s="62">
        <f t="shared" si="38"/>
        <v>2.4E-2</v>
      </c>
      <c r="O157" s="59" t="b">
        <f>TRUE()</f>
        <v>1</v>
      </c>
      <c r="P157" s="61" t="str">
        <f t="shared" si="39"/>
        <v/>
      </c>
      <c r="Q157" s="61" t="b">
        <f>FALSE()</f>
        <v>0</v>
      </c>
      <c r="R157" s="62">
        <f t="shared" si="40"/>
        <v>2.4E-2</v>
      </c>
      <c r="S157" s="59" t="b">
        <f>TRUE()</f>
        <v>1</v>
      </c>
      <c r="T157" s="60">
        <f t="shared" si="41"/>
        <v>2.4E-2</v>
      </c>
      <c r="U157" s="59" t="b">
        <f>TRUE()</f>
        <v>1</v>
      </c>
      <c r="V157" s="60">
        <f t="shared" si="43"/>
        <v>2.4E-2</v>
      </c>
      <c r="W157" s="59" t="b">
        <f>TRUE()</f>
        <v>1</v>
      </c>
      <c r="X157" s="61" t="str">
        <f t="shared" si="42"/>
        <v/>
      </c>
      <c r="Y157" s="24" t="b">
        <f>FALSE()</f>
        <v>0</v>
      </c>
    </row>
    <row r="158" spans="1:26" ht="14" x14ac:dyDescent="0.3">
      <c r="A158" s="10">
        <v>156</v>
      </c>
      <c r="B158" s="63" t="s">
        <v>21</v>
      </c>
      <c r="C158" s="63" t="s">
        <v>57</v>
      </c>
      <c r="D158" s="64">
        <v>46181</v>
      </c>
      <c r="E158" s="64">
        <v>46213</v>
      </c>
      <c r="F158" s="63">
        <f t="shared" si="34"/>
        <v>33</v>
      </c>
      <c r="G158" s="63">
        <v>900</v>
      </c>
      <c r="H158" s="65">
        <v>1800</v>
      </c>
      <c r="I158" s="66">
        <f t="shared" si="35"/>
        <v>6.0606060606060608E-2</v>
      </c>
      <c r="J158" s="63" t="str">
        <f t="shared" si="36"/>
        <v/>
      </c>
      <c r="K158" s="63" t="b">
        <f>FALSE()</f>
        <v>0</v>
      </c>
      <c r="L158" s="66">
        <f t="shared" si="37"/>
        <v>6.0606060606060608E-2</v>
      </c>
      <c r="M158" s="63" t="b">
        <f>TRUE()</f>
        <v>1</v>
      </c>
      <c r="N158" s="66">
        <f t="shared" si="38"/>
        <v>6.0606060606060608E-2</v>
      </c>
      <c r="O158" s="63" t="b">
        <f>TRUE()</f>
        <v>1</v>
      </c>
      <c r="P158" s="66">
        <f t="shared" si="39"/>
        <v>6.0606060606060608E-2</v>
      </c>
      <c r="Q158" s="63" t="b">
        <f>TRUE()</f>
        <v>1</v>
      </c>
      <c r="R158" s="63" t="str">
        <f t="shared" si="40"/>
        <v/>
      </c>
      <c r="S158" s="63" t="b">
        <f>FALSE()</f>
        <v>0</v>
      </c>
      <c r="T158" s="63">
        <v>0</v>
      </c>
      <c r="U158" s="63" t="b">
        <f>FALSE()</f>
        <v>0</v>
      </c>
      <c r="V158" s="63" t="str">
        <f t="shared" si="43"/>
        <v/>
      </c>
      <c r="W158" s="63" t="b">
        <f>FALSE()</f>
        <v>0</v>
      </c>
      <c r="X158" s="63" t="str">
        <f t="shared" si="42"/>
        <v/>
      </c>
      <c r="Y158" s="18" t="b">
        <f>FALSE()</f>
        <v>0</v>
      </c>
      <c r="Z158" s="54" t="s">
        <v>198</v>
      </c>
    </row>
    <row r="159" spans="1:26" ht="14" x14ac:dyDescent="0.25">
      <c r="A159" s="10">
        <v>157</v>
      </c>
      <c r="B159" s="63" t="s">
        <v>199</v>
      </c>
      <c r="C159" s="63" t="s">
        <v>57</v>
      </c>
      <c r="D159" s="64">
        <v>46174</v>
      </c>
      <c r="E159" s="64">
        <v>46203</v>
      </c>
      <c r="F159" s="63">
        <f t="shared" si="34"/>
        <v>30</v>
      </c>
      <c r="G159" s="63">
        <v>900</v>
      </c>
      <c r="H159" s="65">
        <v>1760</v>
      </c>
      <c r="I159" s="66">
        <f t="shared" si="35"/>
        <v>6.5185185185185179E-2</v>
      </c>
      <c r="J159" s="63" t="str">
        <f t="shared" si="36"/>
        <v/>
      </c>
      <c r="K159" s="63" t="b">
        <f>FALSE()</f>
        <v>0</v>
      </c>
      <c r="L159" s="66">
        <f t="shared" si="37"/>
        <v>6.5185185185185179E-2</v>
      </c>
      <c r="M159" s="63" t="b">
        <f>TRUE()</f>
        <v>1</v>
      </c>
      <c r="N159" s="63" t="str">
        <f t="shared" si="38"/>
        <v/>
      </c>
      <c r="O159" s="63" t="b">
        <f>FALSE()</f>
        <v>0</v>
      </c>
      <c r="P159" s="63" t="str">
        <f t="shared" si="39"/>
        <v/>
      </c>
      <c r="Q159" s="63" t="b">
        <f>FALSE()</f>
        <v>0</v>
      </c>
      <c r="R159" s="63" t="str">
        <f t="shared" si="40"/>
        <v/>
      </c>
      <c r="S159" s="63" t="b">
        <f>FALSE()</f>
        <v>0</v>
      </c>
      <c r="T159" s="63"/>
      <c r="U159" s="63" t="b">
        <f>FALSE()</f>
        <v>0</v>
      </c>
      <c r="V159" s="66">
        <f t="shared" si="43"/>
        <v>6.5185185185185179E-2</v>
      </c>
      <c r="W159" s="63" t="b">
        <f>TRUE()</f>
        <v>1</v>
      </c>
      <c r="X159" s="63" t="str">
        <f t="shared" si="42"/>
        <v/>
      </c>
      <c r="Y159" s="18" t="b">
        <f>FALSE()</f>
        <v>0</v>
      </c>
    </row>
    <row r="160" spans="1:26" ht="14" x14ac:dyDescent="0.3">
      <c r="A160" s="10">
        <v>158</v>
      </c>
      <c r="B160" s="63" t="s">
        <v>200</v>
      </c>
      <c r="C160" s="63" t="s">
        <v>201</v>
      </c>
      <c r="D160" s="64">
        <v>46189</v>
      </c>
      <c r="E160" s="64">
        <v>46211</v>
      </c>
      <c r="F160" s="63">
        <f t="shared" si="34"/>
        <v>23</v>
      </c>
      <c r="G160" s="63">
        <v>0</v>
      </c>
      <c r="H160" s="65">
        <v>0</v>
      </c>
      <c r="I160" s="66">
        <v>0</v>
      </c>
      <c r="J160" s="63" t="str">
        <f t="shared" si="36"/>
        <v/>
      </c>
      <c r="K160" s="63" t="b">
        <f>FALSE()</f>
        <v>0</v>
      </c>
      <c r="L160" s="63" t="str">
        <f t="shared" si="37"/>
        <v/>
      </c>
      <c r="M160" s="63" t="b">
        <f>FALSE()</f>
        <v>0</v>
      </c>
      <c r="N160" s="63" t="str">
        <f t="shared" si="38"/>
        <v/>
      </c>
      <c r="O160" s="63" t="b">
        <f>FALSE()</f>
        <v>0</v>
      </c>
      <c r="P160" s="63" t="str">
        <f t="shared" si="39"/>
        <v/>
      </c>
      <c r="Q160" s="63" t="b">
        <f>FALSE()</f>
        <v>0</v>
      </c>
      <c r="R160" s="63" t="str">
        <f t="shared" si="40"/>
        <v/>
      </c>
      <c r="S160" s="63" t="b">
        <f>FALSE()</f>
        <v>0</v>
      </c>
      <c r="T160" s="63"/>
      <c r="U160" s="63" t="b">
        <f>FALSE()</f>
        <v>0</v>
      </c>
      <c r="V160" s="63" t="str">
        <f t="shared" si="43"/>
        <v/>
      </c>
      <c r="W160" s="63" t="b">
        <f>FALSE()</f>
        <v>0</v>
      </c>
      <c r="X160" s="66">
        <f t="shared" si="42"/>
        <v>0</v>
      </c>
      <c r="Y160" s="18" t="b">
        <f>TRUE()</f>
        <v>1</v>
      </c>
      <c r="Z160" s="54" t="s">
        <v>187</v>
      </c>
    </row>
    <row r="161" spans="1:26" ht="14" x14ac:dyDescent="0.25">
      <c r="A161" s="10">
        <v>159</v>
      </c>
      <c r="B161" s="63" t="s">
        <v>202</v>
      </c>
      <c r="C161" s="63" t="s">
        <v>203</v>
      </c>
      <c r="D161" s="64">
        <v>46192</v>
      </c>
      <c r="E161" s="64">
        <v>46203</v>
      </c>
      <c r="F161" s="63">
        <f t="shared" si="34"/>
        <v>12</v>
      </c>
      <c r="G161" s="63">
        <v>900</v>
      </c>
      <c r="H161" s="65">
        <v>900</v>
      </c>
      <c r="I161" s="66">
        <f t="shared" ref="I161:I202" si="44">IFERROR(H161/(F161*G161),"")</f>
        <v>8.3333333333333329E-2</v>
      </c>
      <c r="J161" s="63" t="str">
        <f t="shared" si="36"/>
        <v/>
      </c>
      <c r="K161" s="63" t="b">
        <f>FALSE()</f>
        <v>0</v>
      </c>
      <c r="L161" s="66">
        <f t="shared" si="37"/>
        <v>8.3333333333333329E-2</v>
      </c>
      <c r="M161" s="63" t="b">
        <f>TRUE()</f>
        <v>1</v>
      </c>
      <c r="N161" s="63" t="str">
        <f t="shared" si="38"/>
        <v/>
      </c>
      <c r="O161" s="63" t="b">
        <f>FALSE()</f>
        <v>0</v>
      </c>
      <c r="P161" s="63" t="str">
        <f t="shared" si="39"/>
        <v/>
      </c>
      <c r="Q161" s="63" t="b">
        <f>FALSE()</f>
        <v>0</v>
      </c>
      <c r="R161" s="66">
        <f t="shared" si="40"/>
        <v>8.3333333333333329E-2</v>
      </c>
      <c r="S161" s="63" t="b">
        <f>TRUE()</f>
        <v>1</v>
      </c>
      <c r="T161" s="63"/>
      <c r="U161" s="63" t="b">
        <f>TRUE()</f>
        <v>1</v>
      </c>
      <c r="V161" s="63" t="str">
        <f t="shared" si="43"/>
        <v/>
      </c>
      <c r="W161" s="63" t="b">
        <f>FALSE()</f>
        <v>0</v>
      </c>
      <c r="X161" s="63" t="str">
        <f t="shared" si="42"/>
        <v/>
      </c>
      <c r="Y161" s="18" t="b">
        <f>FALSE()</f>
        <v>0</v>
      </c>
    </row>
    <row r="162" spans="1:26" ht="14" x14ac:dyDescent="0.25">
      <c r="A162" s="10">
        <v>160</v>
      </c>
      <c r="B162" s="63" t="s">
        <v>37</v>
      </c>
      <c r="C162" s="63" t="s">
        <v>204</v>
      </c>
      <c r="D162" s="64">
        <v>46184</v>
      </c>
      <c r="E162" s="64">
        <v>46199</v>
      </c>
      <c r="F162" s="63">
        <f t="shared" si="34"/>
        <v>16</v>
      </c>
      <c r="G162" s="63">
        <v>450</v>
      </c>
      <c r="H162" s="65">
        <v>337.5</v>
      </c>
      <c r="I162" s="66">
        <f t="shared" si="44"/>
        <v>4.6875E-2</v>
      </c>
      <c r="J162" s="63" t="str">
        <f t="shared" si="36"/>
        <v/>
      </c>
      <c r="K162" s="63" t="b">
        <f>FALSE()</f>
        <v>0</v>
      </c>
      <c r="L162" s="63" t="str">
        <f t="shared" si="37"/>
        <v/>
      </c>
      <c r="M162" s="63" t="b">
        <f>FALSE()</f>
        <v>0</v>
      </c>
      <c r="N162" s="63" t="str">
        <f t="shared" si="38"/>
        <v/>
      </c>
      <c r="O162" s="63" t="b">
        <f>FALSE()</f>
        <v>0</v>
      </c>
      <c r="P162" s="63" t="str">
        <f t="shared" si="39"/>
        <v/>
      </c>
      <c r="Q162" s="63" t="b">
        <f>FALSE()</f>
        <v>0</v>
      </c>
      <c r="R162" s="63" t="str">
        <f t="shared" si="40"/>
        <v/>
      </c>
      <c r="S162" s="63" t="b">
        <f>FALSE()</f>
        <v>0</v>
      </c>
      <c r="T162" s="63"/>
      <c r="U162" s="63" t="b">
        <f>FALSE()</f>
        <v>0</v>
      </c>
      <c r="V162" s="63" t="str">
        <f t="shared" si="43"/>
        <v/>
      </c>
      <c r="W162" s="63" t="b">
        <f>FALSE()</f>
        <v>0</v>
      </c>
      <c r="X162" s="66">
        <f t="shared" si="42"/>
        <v>4.6875E-2</v>
      </c>
      <c r="Y162" s="18" t="b">
        <f>TRUE()</f>
        <v>1</v>
      </c>
    </row>
    <row r="163" spans="1:26" ht="14" x14ac:dyDescent="0.25">
      <c r="A163" s="10">
        <v>161</v>
      </c>
      <c r="B163" s="63" t="s">
        <v>141</v>
      </c>
      <c r="C163" s="63" t="s">
        <v>205</v>
      </c>
      <c r="D163" s="64">
        <v>46196</v>
      </c>
      <c r="E163" s="64">
        <v>46225</v>
      </c>
      <c r="F163" s="63">
        <f t="shared" si="34"/>
        <v>30</v>
      </c>
      <c r="G163" s="63">
        <v>300</v>
      </c>
      <c r="H163" s="65">
        <v>550</v>
      </c>
      <c r="I163" s="66">
        <f t="shared" si="44"/>
        <v>6.1111111111111109E-2</v>
      </c>
      <c r="J163" s="66">
        <f t="shared" si="36"/>
        <v>6.1111111111111109E-2</v>
      </c>
      <c r="K163" s="63" t="b">
        <f>TRUE()</f>
        <v>1</v>
      </c>
      <c r="L163" s="63" t="str">
        <f t="shared" si="37"/>
        <v/>
      </c>
      <c r="M163" s="63" t="b">
        <f>FALSE()</f>
        <v>0</v>
      </c>
      <c r="N163" s="63" t="str">
        <f t="shared" si="38"/>
        <v/>
      </c>
      <c r="O163" s="63" t="b">
        <f>FALSE()</f>
        <v>0</v>
      </c>
      <c r="P163" s="63" t="str">
        <f t="shared" si="39"/>
        <v/>
      </c>
      <c r="Q163" s="63" t="b">
        <f>FALSE()</f>
        <v>0</v>
      </c>
      <c r="R163" s="63" t="str">
        <f t="shared" si="40"/>
        <v/>
      </c>
      <c r="S163" s="63" t="b">
        <f>FALSE()</f>
        <v>0</v>
      </c>
      <c r="T163" s="63"/>
      <c r="U163" s="63" t="b">
        <f>FALSE()</f>
        <v>0</v>
      </c>
      <c r="V163" s="63" t="str">
        <f t="shared" si="43"/>
        <v/>
      </c>
      <c r="W163" s="63" t="b">
        <f>FALSE()</f>
        <v>0</v>
      </c>
      <c r="X163" s="63" t="str">
        <f t="shared" si="42"/>
        <v/>
      </c>
      <c r="Y163" s="18" t="b">
        <f>FALSE()</f>
        <v>0</v>
      </c>
    </row>
    <row r="164" spans="1:26" ht="14" x14ac:dyDescent="0.25">
      <c r="A164" s="10">
        <v>162</v>
      </c>
      <c r="B164" s="63" t="s">
        <v>206</v>
      </c>
      <c r="C164" s="63"/>
      <c r="D164" s="64">
        <v>46199</v>
      </c>
      <c r="E164" s="64">
        <v>46223</v>
      </c>
      <c r="F164" s="63">
        <f t="shared" ref="F164:F195" si="45">(E164-D164)+1</f>
        <v>25</v>
      </c>
      <c r="G164" s="63">
        <v>1800</v>
      </c>
      <c r="H164" s="65">
        <v>2083.33</v>
      </c>
      <c r="I164" s="66">
        <f t="shared" si="44"/>
        <v>4.6296222222222218E-2</v>
      </c>
      <c r="J164" s="66">
        <f t="shared" si="36"/>
        <v>4.6296222222222218E-2</v>
      </c>
      <c r="K164" s="63" t="b">
        <f>TRUE()</f>
        <v>1</v>
      </c>
      <c r="L164" s="66">
        <f t="shared" si="37"/>
        <v>4.6296222222222218E-2</v>
      </c>
      <c r="M164" s="63" t="b">
        <f>TRUE()</f>
        <v>1</v>
      </c>
      <c r="N164" s="66">
        <f t="shared" si="38"/>
        <v>4.6296222222222218E-2</v>
      </c>
      <c r="O164" s="63" t="b">
        <f>TRUE()</f>
        <v>1</v>
      </c>
      <c r="P164" s="63" t="str">
        <f t="shared" si="39"/>
        <v/>
      </c>
      <c r="Q164" s="63" t="b">
        <f>FALSE()</f>
        <v>0</v>
      </c>
      <c r="R164" s="66">
        <f t="shared" si="40"/>
        <v>4.6296222222222218E-2</v>
      </c>
      <c r="S164" s="63" t="b">
        <f>TRUE()</f>
        <v>1</v>
      </c>
      <c r="T164" s="63"/>
      <c r="U164" s="63" t="b">
        <f>FALSE()</f>
        <v>0</v>
      </c>
      <c r="V164" s="63" t="str">
        <f t="shared" si="43"/>
        <v/>
      </c>
      <c r="W164" s="63" t="b">
        <f>FALSE()</f>
        <v>0</v>
      </c>
      <c r="X164" s="63" t="str">
        <f t="shared" si="42"/>
        <v/>
      </c>
      <c r="Y164" s="18" t="b">
        <f>FALSE()</f>
        <v>0</v>
      </c>
    </row>
    <row r="165" spans="1:26" ht="14" x14ac:dyDescent="0.25">
      <c r="A165" s="10">
        <v>163</v>
      </c>
      <c r="B165" s="63" t="s">
        <v>207</v>
      </c>
      <c r="C165" s="63" t="s">
        <v>208</v>
      </c>
      <c r="D165" s="64">
        <v>46204</v>
      </c>
      <c r="E165" s="64">
        <v>46234</v>
      </c>
      <c r="F165" s="63">
        <f t="shared" si="45"/>
        <v>31</v>
      </c>
      <c r="G165" s="63">
        <v>450</v>
      </c>
      <c r="H165" s="65">
        <v>810</v>
      </c>
      <c r="I165" s="66">
        <f t="shared" si="44"/>
        <v>5.8064516129032261E-2</v>
      </c>
      <c r="J165" s="66">
        <f t="shared" ref="J165:J196" si="46">IF(K165=TRUE(),$I165,"")</f>
        <v>5.8064516129032261E-2</v>
      </c>
      <c r="K165" s="63" t="b">
        <f>TRUE()</f>
        <v>1</v>
      </c>
      <c r="L165" s="63" t="str">
        <f t="shared" ref="L165:L196" si="47">IF(M165=TRUE(),$I165,"")</f>
        <v/>
      </c>
      <c r="M165" s="63" t="b">
        <f>FALSE()</f>
        <v>0</v>
      </c>
      <c r="N165" s="63" t="str">
        <f t="shared" ref="N165:N196" si="48">IF(O165=TRUE(),$I165,"")</f>
        <v/>
      </c>
      <c r="O165" s="63" t="b">
        <f>FALSE()</f>
        <v>0</v>
      </c>
      <c r="P165" s="63" t="str">
        <f t="shared" ref="P165:P196" si="49">IF(Q165=TRUE(),$I165,"")</f>
        <v/>
      </c>
      <c r="Q165" s="63" t="b">
        <f>FALSE()</f>
        <v>0</v>
      </c>
      <c r="R165" s="63" t="str">
        <f t="shared" ref="R165:R196" si="50">IF(S165=TRUE(),$I165,"")</f>
        <v/>
      </c>
      <c r="S165" s="63" t="b">
        <f>FALSE()</f>
        <v>0</v>
      </c>
      <c r="T165" s="63"/>
      <c r="U165" s="63" t="b">
        <f>FALSE()</f>
        <v>0</v>
      </c>
      <c r="V165" s="63" t="str">
        <f t="shared" si="43"/>
        <v/>
      </c>
      <c r="W165" s="63" t="b">
        <f>FALSE()</f>
        <v>0</v>
      </c>
      <c r="X165" s="63" t="str">
        <f t="shared" si="42"/>
        <v/>
      </c>
      <c r="Y165" s="18" t="b">
        <f>FALSE()</f>
        <v>0</v>
      </c>
    </row>
    <row r="166" spans="1:26" ht="14" x14ac:dyDescent="0.25">
      <c r="A166" s="10">
        <v>164</v>
      </c>
      <c r="B166" s="63" t="s">
        <v>207</v>
      </c>
      <c r="C166" s="63" t="s">
        <v>208</v>
      </c>
      <c r="D166" s="64">
        <v>46235</v>
      </c>
      <c r="E166" s="64">
        <v>46326</v>
      </c>
      <c r="F166" s="63">
        <f t="shared" si="45"/>
        <v>92</v>
      </c>
      <c r="G166" s="63">
        <v>450</v>
      </c>
      <c r="H166" s="65">
        <v>2430</v>
      </c>
      <c r="I166" s="66">
        <f t="shared" si="44"/>
        <v>5.8695652173913045E-2</v>
      </c>
      <c r="J166" s="63" t="str">
        <f t="shared" si="46"/>
        <v/>
      </c>
      <c r="K166" s="63" t="b">
        <f>FALSE()</f>
        <v>0</v>
      </c>
      <c r="L166" s="63" t="str">
        <f t="shared" si="47"/>
        <v/>
      </c>
      <c r="M166" s="63" t="b">
        <f>FALSE()</f>
        <v>0</v>
      </c>
      <c r="N166" s="63" t="str">
        <f t="shared" si="48"/>
        <v/>
      </c>
      <c r="O166" s="63" t="b">
        <f>FALSE()</f>
        <v>0</v>
      </c>
      <c r="P166" s="63" t="str">
        <f t="shared" si="49"/>
        <v/>
      </c>
      <c r="Q166" s="63" t="b">
        <f>FALSE()</f>
        <v>0</v>
      </c>
      <c r="R166" s="66">
        <f t="shared" si="50"/>
        <v>5.8695652173913045E-2</v>
      </c>
      <c r="S166" s="63" t="b">
        <f>TRUE()</f>
        <v>1</v>
      </c>
      <c r="T166" s="63"/>
      <c r="U166" s="63" t="b">
        <f>FALSE()</f>
        <v>0</v>
      </c>
      <c r="V166" s="63" t="str">
        <f t="shared" si="43"/>
        <v/>
      </c>
      <c r="W166" s="63" t="b">
        <f>FALSE()</f>
        <v>0</v>
      </c>
      <c r="X166" s="63" t="str">
        <f t="shared" si="42"/>
        <v/>
      </c>
      <c r="Y166" s="18" t="b">
        <f>FALSE()</f>
        <v>0</v>
      </c>
    </row>
    <row r="167" spans="1:26" ht="14" x14ac:dyDescent="0.25">
      <c r="A167" s="10">
        <v>165</v>
      </c>
      <c r="B167" s="63" t="s">
        <v>207</v>
      </c>
      <c r="C167" s="63" t="s">
        <v>208</v>
      </c>
      <c r="D167" s="64">
        <v>46195</v>
      </c>
      <c r="E167" s="64">
        <v>46234</v>
      </c>
      <c r="F167" s="63">
        <f t="shared" si="45"/>
        <v>40</v>
      </c>
      <c r="G167" s="63">
        <v>450</v>
      </c>
      <c r="H167" s="65">
        <v>1080</v>
      </c>
      <c r="I167" s="66">
        <f t="shared" si="44"/>
        <v>0.06</v>
      </c>
      <c r="J167" s="63" t="str">
        <f t="shared" si="46"/>
        <v/>
      </c>
      <c r="K167" s="63" t="b">
        <f>FALSE()</f>
        <v>0</v>
      </c>
      <c r="L167" s="63" t="str">
        <f t="shared" si="47"/>
        <v/>
      </c>
      <c r="M167" s="63" t="b">
        <f>FALSE()</f>
        <v>0</v>
      </c>
      <c r="N167" s="63" t="str">
        <f t="shared" si="48"/>
        <v/>
      </c>
      <c r="O167" s="63" t="b">
        <f>FALSE()</f>
        <v>0</v>
      </c>
      <c r="P167" s="63" t="str">
        <f t="shared" si="49"/>
        <v/>
      </c>
      <c r="Q167" s="63" t="b">
        <f>FALSE()</f>
        <v>0</v>
      </c>
      <c r="R167" s="66">
        <f t="shared" si="50"/>
        <v>0.06</v>
      </c>
      <c r="S167" s="63" t="b">
        <f>TRUE()</f>
        <v>1</v>
      </c>
      <c r="T167" s="63"/>
      <c r="U167" s="63" t="b">
        <f>FALSE()</f>
        <v>0</v>
      </c>
      <c r="V167" s="63" t="str">
        <f t="shared" si="43"/>
        <v/>
      </c>
      <c r="W167" s="63" t="b">
        <f>FALSE()</f>
        <v>0</v>
      </c>
      <c r="X167" s="63" t="str">
        <f t="shared" si="42"/>
        <v/>
      </c>
      <c r="Y167" s="18" t="b">
        <f>FALSE()</f>
        <v>0</v>
      </c>
    </row>
    <row r="168" spans="1:26" ht="14" x14ac:dyDescent="0.25">
      <c r="A168" s="10">
        <v>166</v>
      </c>
      <c r="B168" s="63" t="s">
        <v>120</v>
      </c>
      <c r="C168" s="63" t="s">
        <v>121</v>
      </c>
      <c r="D168" s="64">
        <v>46199</v>
      </c>
      <c r="E168" s="64">
        <v>46201</v>
      </c>
      <c r="F168" s="63">
        <f t="shared" si="45"/>
        <v>3</v>
      </c>
      <c r="G168" s="63">
        <v>450</v>
      </c>
      <c r="H168" s="65">
        <v>135</v>
      </c>
      <c r="I168" s="66">
        <f t="shared" si="44"/>
        <v>0.1</v>
      </c>
      <c r="J168" s="63" t="str">
        <f t="shared" si="46"/>
        <v/>
      </c>
      <c r="K168" s="63" t="b">
        <f>FALSE()</f>
        <v>0</v>
      </c>
      <c r="L168" s="63" t="str">
        <f t="shared" si="47"/>
        <v/>
      </c>
      <c r="M168" s="63" t="b">
        <f>FALSE()</f>
        <v>0</v>
      </c>
      <c r="N168" s="66">
        <f t="shared" si="48"/>
        <v>0.1</v>
      </c>
      <c r="O168" s="63" t="b">
        <f>TRUE()</f>
        <v>1</v>
      </c>
      <c r="P168" s="66">
        <f t="shared" si="49"/>
        <v>0.1</v>
      </c>
      <c r="Q168" s="63" t="b">
        <f>TRUE()</f>
        <v>1</v>
      </c>
      <c r="R168" s="63" t="str">
        <f t="shared" si="50"/>
        <v/>
      </c>
      <c r="S168" s="63" t="b">
        <f>FALSE()</f>
        <v>0</v>
      </c>
      <c r="T168" s="63"/>
      <c r="U168" s="63" t="b">
        <f>FALSE()</f>
        <v>0</v>
      </c>
      <c r="V168" s="63" t="str">
        <f t="shared" si="43"/>
        <v/>
      </c>
      <c r="W168" s="63" t="b">
        <f>FALSE()</f>
        <v>0</v>
      </c>
      <c r="X168" s="63" t="str">
        <f t="shared" si="42"/>
        <v/>
      </c>
      <c r="Y168" s="18" t="b">
        <f>FALSE()</f>
        <v>0</v>
      </c>
    </row>
    <row r="169" spans="1:26" ht="14" x14ac:dyDescent="0.25">
      <c r="A169" s="10">
        <v>167</v>
      </c>
      <c r="B169" s="63" t="s">
        <v>37</v>
      </c>
      <c r="C169" s="63" t="s">
        <v>209</v>
      </c>
      <c r="D169" s="64">
        <v>46200</v>
      </c>
      <c r="E169" s="64">
        <v>46214</v>
      </c>
      <c r="F169" s="63">
        <f t="shared" si="45"/>
        <v>15</v>
      </c>
      <c r="G169" s="63">
        <v>2250</v>
      </c>
      <c r="H169" s="65">
        <v>1687.5</v>
      </c>
      <c r="I169" s="66">
        <f t="shared" si="44"/>
        <v>0.05</v>
      </c>
      <c r="J169" s="66">
        <f t="shared" si="46"/>
        <v>0.05</v>
      </c>
      <c r="K169" s="63" t="b">
        <f>TRUE()</f>
        <v>1</v>
      </c>
      <c r="L169" s="66">
        <f t="shared" si="47"/>
        <v>0.05</v>
      </c>
      <c r="M169" s="63" t="b">
        <f>TRUE()</f>
        <v>1</v>
      </c>
      <c r="N169" s="66">
        <f t="shared" si="48"/>
        <v>0.05</v>
      </c>
      <c r="O169" s="63" t="b">
        <f>TRUE()</f>
        <v>1</v>
      </c>
      <c r="P169" s="63" t="str">
        <f t="shared" si="49"/>
        <v/>
      </c>
      <c r="Q169" s="63" t="b">
        <f>FALSE()</f>
        <v>0</v>
      </c>
      <c r="R169" s="66">
        <f t="shared" si="50"/>
        <v>0.05</v>
      </c>
      <c r="S169" s="63" t="b">
        <f>TRUE()</f>
        <v>1</v>
      </c>
      <c r="T169" s="63"/>
      <c r="U169" s="63" t="b">
        <f>FALSE()</f>
        <v>0</v>
      </c>
      <c r="V169" s="63" t="str">
        <f t="shared" si="43"/>
        <v/>
      </c>
      <c r="W169" s="63" t="b">
        <f>FALSE()</f>
        <v>0</v>
      </c>
      <c r="X169" s="66">
        <f t="shared" si="42"/>
        <v>0.05</v>
      </c>
      <c r="Y169" s="18" t="b">
        <f>TRUE()</f>
        <v>1</v>
      </c>
    </row>
    <row r="170" spans="1:26" ht="14" x14ac:dyDescent="0.25">
      <c r="A170" s="10">
        <v>168</v>
      </c>
      <c r="B170" s="63" t="s">
        <v>37</v>
      </c>
      <c r="C170" s="63" t="s">
        <v>210</v>
      </c>
      <c r="D170" s="64">
        <v>46215</v>
      </c>
      <c r="E170" s="64">
        <v>46234</v>
      </c>
      <c r="F170" s="63">
        <f t="shared" si="45"/>
        <v>20</v>
      </c>
      <c r="G170" s="63">
        <v>450</v>
      </c>
      <c r="H170" s="65">
        <v>337.5</v>
      </c>
      <c r="I170" s="66">
        <f t="shared" si="44"/>
        <v>3.7499999999999999E-2</v>
      </c>
      <c r="J170" s="63" t="str">
        <f t="shared" si="46"/>
        <v/>
      </c>
      <c r="K170" s="63" t="b">
        <f>FALSE()</f>
        <v>0</v>
      </c>
      <c r="L170" s="63" t="str">
        <f t="shared" si="47"/>
        <v/>
      </c>
      <c r="M170" s="63" t="b">
        <f>FALSE()</f>
        <v>0</v>
      </c>
      <c r="N170" s="63" t="str">
        <f t="shared" si="48"/>
        <v/>
      </c>
      <c r="O170" s="63" t="b">
        <f>FALSE()</f>
        <v>0</v>
      </c>
      <c r="P170" s="63" t="str">
        <f t="shared" si="49"/>
        <v/>
      </c>
      <c r="Q170" s="63" t="b">
        <f>FALSE()</f>
        <v>0</v>
      </c>
      <c r="R170" s="63" t="str">
        <f t="shared" si="50"/>
        <v/>
      </c>
      <c r="S170" s="63" t="b">
        <f>FALSE()</f>
        <v>0</v>
      </c>
      <c r="T170" s="63"/>
      <c r="U170" s="63" t="b">
        <f>FALSE()</f>
        <v>0</v>
      </c>
      <c r="V170" s="63" t="str">
        <f t="shared" si="43"/>
        <v/>
      </c>
      <c r="W170" s="63" t="b">
        <f>FALSE()</f>
        <v>0</v>
      </c>
      <c r="X170" s="66">
        <f t="shared" si="42"/>
        <v>3.7499999999999999E-2</v>
      </c>
      <c r="Y170" s="18" t="b">
        <f>TRUE()</f>
        <v>1</v>
      </c>
    </row>
    <row r="171" spans="1:26" ht="14" x14ac:dyDescent="0.25">
      <c r="A171" s="10">
        <v>169</v>
      </c>
      <c r="B171" s="63" t="s">
        <v>74</v>
      </c>
      <c r="C171" s="63" t="s">
        <v>211</v>
      </c>
      <c r="D171" s="64">
        <v>46200</v>
      </c>
      <c r="E171" s="64">
        <v>46206</v>
      </c>
      <c r="F171" s="63">
        <f t="shared" si="45"/>
        <v>7</v>
      </c>
      <c r="G171" s="63">
        <v>1350</v>
      </c>
      <c r="H171" s="65">
        <v>472.5</v>
      </c>
      <c r="I171" s="66">
        <f t="shared" si="44"/>
        <v>0.05</v>
      </c>
      <c r="J171" s="63" t="str">
        <f t="shared" si="46"/>
        <v/>
      </c>
      <c r="K171" s="63" t="b">
        <f>FALSE()</f>
        <v>0</v>
      </c>
      <c r="L171" s="66">
        <f t="shared" si="47"/>
        <v>0.05</v>
      </c>
      <c r="M171" s="63" t="b">
        <f>TRUE()</f>
        <v>1</v>
      </c>
      <c r="N171" s="63" t="str">
        <f t="shared" si="48"/>
        <v/>
      </c>
      <c r="O171" s="63" t="b">
        <f>FALSE()</f>
        <v>0</v>
      </c>
      <c r="P171" s="63" t="str">
        <f t="shared" si="49"/>
        <v/>
      </c>
      <c r="Q171" s="63" t="b">
        <f>FALSE()</f>
        <v>0</v>
      </c>
      <c r="R171" s="63" t="str">
        <f t="shared" si="50"/>
        <v/>
      </c>
      <c r="S171" s="63" t="b">
        <f>FALSE()</f>
        <v>0</v>
      </c>
      <c r="T171" s="63"/>
      <c r="U171" s="63" t="b">
        <f>TRUE()</f>
        <v>1</v>
      </c>
      <c r="V171" s="66">
        <f t="shared" si="43"/>
        <v>0.05</v>
      </c>
      <c r="W171" s="63" t="b">
        <f>TRUE()</f>
        <v>1</v>
      </c>
      <c r="X171" s="63" t="str">
        <f t="shared" si="42"/>
        <v/>
      </c>
      <c r="Y171" s="18" t="b">
        <f>FALSE()</f>
        <v>0</v>
      </c>
    </row>
    <row r="172" spans="1:26" ht="14" x14ac:dyDescent="0.25">
      <c r="A172" s="10">
        <v>170</v>
      </c>
      <c r="B172" s="63" t="s">
        <v>212</v>
      </c>
      <c r="C172" s="63" t="s">
        <v>213</v>
      </c>
      <c r="D172" s="64">
        <v>46198</v>
      </c>
      <c r="E172" s="64">
        <v>46227</v>
      </c>
      <c r="F172" s="63">
        <f t="shared" si="45"/>
        <v>30</v>
      </c>
      <c r="G172" s="63">
        <v>900</v>
      </c>
      <c r="H172" s="65">
        <v>1975.5</v>
      </c>
      <c r="I172" s="66">
        <f t="shared" si="44"/>
        <v>7.3166666666666672E-2</v>
      </c>
      <c r="J172" s="63" t="str">
        <f t="shared" si="46"/>
        <v/>
      </c>
      <c r="K172" s="63" t="b">
        <f>FALSE()</f>
        <v>0</v>
      </c>
      <c r="L172" s="63" t="str">
        <f t="shared" si="47"/>
        <v/>
      </c>
      <c r="M172" s="63" t="b">
        <f>FALSE()</f>
        <v>0</v>
      </c>
      <c r="N172" s="63" t="str">
        <f t="shared" si="48"/>
        <v/>
      </c>
      <c r="O172" s="63" t="b">
        <f>FALSE()</f>
        <v>0</v>
      </c>
      <c r="P172" s="66">
        <f t="shared" si="49"/>
        <v>7.3166666666666672E-2</v>
      </c>
      <c r="Q172" s="63" t="b">
        <f>TRUE()</f>
        <v>1</v>
      </c>
      <c r="R172" s="66">
        <f t="shared" si="50"/>
        <v>7.3166666666666672E-2</v>
      </c>
      <c r="S172" s="63" t="b">
        <f>TRUE()</f>
        <v>1</v>
      </c>
      <c r="T172" s="63"/>
      <c r="U172" s="63" t="b">
        <f>FALSE()</f>
        <v>0</v>
      </c>
      <c r="V172" s="63" t="str">
        <f t="shared" si="43"/>
        <v/>
      </c>
      <c r="W172" s="63" t="b">
        <f>FALSE()</f>
        <v>0</v>
      </c>
      <c r="X172" s="63" t="str">
        <f t="shared" si="42"/>
        <v/>
      </c>
      <c r="Y172" s="18" t="b">
        <f>FALSE()</f>
        <v>0</v>
      </c>
    </row>
    <row r="173" spans="1:26" ht="14" x14ac:dyDescent="0.25">
      <c r="A173" s="10">
        <v>171</v>
      </c>
      <c r="B173" s="63" t="s">
        <v>214</v>
      </c>
      <c r="C173" s="63" t="s">
        <v>57</v>
      </c>
      <c r="D173" s="64">
        <v>46204</v>
      </c>
      <c r="E173" s="64">
        <v>46295</v>
      </c>
      <c r="F173" s="63">
        <f t="shared" si="45"/>
        <v>92</v>
      </c>
      <c r="G173" s="63">
        <v>900</v>
      </c>
      <c r="H173" s="65">
        <v>4350</v>
      </c>
      <c r="I173" s="66">
        <f t="shared" si="44"/>
        <v>5.2536231884057968E-2</v>
      </c>
      <c r="J173" s="66">
        <f t="shared" si="46"/>
        <v>5.2536231884057968E-2</v>
      </c>
      <c r="K173" s="63" t="b">
        <f>TRUE()</f>
        <v>1</v>
      </c>
      <c r="L173" s="63" t="str">
        <f t="shared" si="47"/>
        <v/>
      </c>
      <c r="M173" s="63" t="b">
        <f>FALSE()</f>
        <v>0</v>
      </c>
      <c r="N173" s="63" t="str">
        <f t="shared" si="48"/>
        <v/>
      </c>
      <c r="O173" s="63" t="b">
        <f>FALSE()</f>
        <v>0</v>
      </c>
      <c r="P173" s="66">
        <f t="shared" si="49"/>
        <v>5.2536231884057968E-2</v>
      </c>
      <c r="Q173" s="63" t="b">
        <f>TRUE()</f>
        <v>1</v>
      </c>
      <c r="R173" s="63" t="str">
        <f t="shared" si="50"/>
        <v/>
      </c>
      <c r="S173" s="63" t="b">
        <f>FALSE()</f>
        <v>0</v>
      </c>
      <c r="T173" s="63"/>
      <c r="U173" s="63" t="b">
        <f>FALSE()</f>
        <v>0</v>
      </c>
      <c r="V173" s="63" t="str">
        <f t="shared" si="43"/>
        <v/>
      </c>
      <c r="W173" s="63" t="b">
        <f>FALSE()</f>
        <v>0</v>
      </c>
      <c r="X173" s="63" t="str">
        <f t="shared" si="42"/>
        <v/>
      </c>
      <c r="Y173" s="18" t="b">
        <f>FALSE()</f>
        <v>0</v>
      </c>
    </row>
    <row r="174" spans="1:26" ht="14" x14ac:dyDescent="0.25">
      <c r="A174" s="10">
        <v>172</v>
      </c>
      <c r="B174" s="27" t="s">
        <v>158</v>
      </c>
      <c r="C174" s="27" t="s">
        <v>24</v>
      </c>
      <c r="D174" s="28">
        <v>46204</v>
      </c>
      <c r="E174" s="28">
        <v>46234</v>
      </c>
      <c r="F174" s="27">
        <f t="shared" si="45"/>
        <v>31</v>
      </c>
      <c r="G174" s="27">
        <v>900</v>
      </c>
      <c r="H174" s="44">
        <v>1200</v>
      </c>
      <c r="I174" s="22">
        <f t="shared" si="44"/>
        <v>4.3010752688172046E-2</v>
      </c>
      <c r="J174" s="31">
        <f t="shared" si="46"/>
        <v>4.3010752688172046E-2</v>
      </c>
      <c r="K174" s="18" t="b">
        <f>TRUE()</f>
        <v>1</v>
      </c>
      <c r="L174" s="19" t="str">
        <f t="shared" si="47"/>
        <v/>
      </c>
      <c r="M174" s="19" t="b">
        <f>FALSE()</f>
        <v>0</v>
      </c>
      <c r="N174" s="17" t="str">
        <f t="shared" si="48"/>
        <v/>
      </c>
      <c r="O174" s="18" t="b">
        <f>FALSE()</f>
        <v>0</v>
      </c>
      <c r="P174" s="29">
        <f t="shared" si="49"/>
        <v>4.3010752688172046E-2</v>
      </c>
      <c r="Q174" s="19" t="b">
        <f>TRUE()</f>
        <v>1</v>
      </c>
      <c r="R174" s="17" t="str">
        <f t="shared" si="50"/>
        <v/>
      </c>
      <c r="S174" s="18" t="b">
        <f>FALSE()</f>
        <v>0</v>
      </c>
      <c r="T174" s="19"/>
      <c r="U174" s="18" t="b">
        <f>FALSE()</f>
        <v>0</v>
      </c>
      <c r="V174" s="19" t="str">
        <f t="shared" si="43"/>
        <v/>
      </c>
      <c r="W174" s="18" t="b">
        <f>FALSE()</f>
        <v>0</v>
      </c>
      <c r="X174" s="19" t="str">
        <f t="shared" si="42"/>
        <v/>
      </c>
      <c r="Y174" s="18" t="b">
        <f>FALSE()</f>
        <v>0</v>
      </c>
    </row>
    <row r="175" spans="1:26" ht="14" x14ac:dyDescent="0.25">
      <c r="A175" s="10">
        <v>173</v>
      </c>
      <c r="B175" s="27" t="s">
        <v>108</v>
      </c>
      <c r="C175" s="27" t="s">
        <v>24</v>
      </c>
      <c r="D175" s="28">
        <v>46204</v>
      </c>
      <c r="E175" s="28">
        <v>46234</v>
      </c>
      <c r="F175" s="13">
        <f t="shared" si="45"/>
        <v>31</v>
      </c>
      <c r="G175" s="13">
        <v>450</v>
      </c>
      <c r="H175" s="41">
        <v>600</v>
      </c>
      <c r="I175" s="52">
        <f t="shared" si="44"/>
        <v>4.3010752688172046E-2</v>
      </c>
      <c r="J175" s="17" t="str">
        <f t="shared" si="46"/>
        <v/>
      </c>
      <c r="K175" s="18" t="b">
        <f>FALSE()</f>
        <v>0</v>
      </c>
      <c r="L175" s="19" t="str">
        <f t="shared" si="47"/>
        <v/>
      </c>
      <c r="M175" s="19" t="b">
        <f>FALSE()</f>
        <v>0</v>
      </c>
      <c r="N175" s="17" t="str">
        <f t="shared" si="48"/>
        <v/>
      </c>
      <c r="O175" s="18" t="b">
        <f>FALSE()</f>
        <v>0</v>
      </c>
      <c r="P175" s="19" t="str">
        <f t="shared" si="49"/>
        <v/>
      </c>
      <c r="Q175" s="19" t="b">
        <f>FALSE()</f>
        <v>0</v>
      </c>
      <c r="R175" s="17" t="str">
        <f t="shared" si="50"/>
        <v/>
      </c>
      <c r="S175" s="18" t="b">
        <f>FALSE()</f>
        <v>0</v>
      </c>
      <c r="T175" s="19"/>
      <c r="U175" s="18" t="b">
        <f>TRUE()</f>
        <v>1</v>
      </c>
      <c r="V175" s="19" t="str">
        <f t="shared" si="43"/>
        <v/>
      </c>
      <c r="W175" s="18" t="b">
        <f>FALSE()</f>
        <v>0</v>
      </c>
      <c r="X175" s="19" t="str">
        <f t="shared" si="42"/>
        <v/>
      </c>
      <c r="Y175" s="18" t="b">
        <f>FALSE()</f>
        <v>0</v>
      </c>
    </row>
    <row r="176" spans="1:26" ht="14" x14ac:dyDescent="0.3">
      <c r="A176" s="10">
        <v>174</v>
      </c>
      <c r="B176" s="27" t="s">
        <v>215</v>
      </c>
      <c r="C176" s="27" t="s">
        <v>57</v>
      </c>
      <c r="D176" s="28">
        <v>46199</v>
      </c>
      <c r="E176" s="28">
        <v>46228</v>
      </c>
      <c r="F176" s="13">
        <f t="shared" si="45"/>
        <v>30</v>
      </c>
      <c r="G176" s="13">
        <v>1800</v>
      </c>
      <c r="H176" s="41">
        <v>2083.33</v>
      </c>
      <c r="I176" s="52">
        <f t="shared" si="44"/>
        <v>3.8580185185185183E-2</v>
      </c>
      <c r="J176" s="31">
        <f t="shared" si="46"/>
        <v>3.8580185185185183E-2</v>
      </c>
      <c r="K176" s="18" t="b">
        <f>TRUE()</f>
        <v>1</v>
      </c>
      <c r="L176" s="29">
        <f t="shared" si="47"/>
        <v>3.8580185185185183E-2</v>
      </c>
      <c r="M176" s="19" t="b">
        <f>TRUE()</f>
        <v>1</v>
      </c>
      <c r="N176" s="17" t="str">
        <f t="shared" si="48"/>
        <v/>
      </c>
      <c r="O176" s="18" t="b">
        <f>FALSE()</f>
        <v>0</v>
      </c>
      <c r="P176" s="19" t="str">
        <f t="shared" si="49"/>
        <v/>
      </c>
      <c r="Q176" s="19" t="b">
        <f>FALSE()</f>
        <v>0</v>
      </c>
      <c r="R176" s="31">
        <f t="shared" si="50"/>
        <v>3.8580185185185183E-2</v>
      </c>
      <c r="S176" s="18" t="b">
        <f>TRUE()</f>
        <v>1</v>
      </c>
      <c r="T176" s="19"/>
      <c r="U176" s="18" t="b">
        <f>TRUE()</f>
        <v>1</v>
      </c>
      <c r="V176" s="19" t="str">
        <f t="shared" si="43"/>
        <v/>
      </c>
      <c r="W176" s="18" t="b">
        <f>FALSE()</f>
        <v>0</v>
      </c>
      <c r="X176" s="19" t="str">
        <f t="shared" si="42"/>
        <v/>
      </c>
      <c r="Y176" s="18" t="b">
        <f>FALSE()</f>
        <v>0</v>
      </c>
      <c r="Z176" s="54" t="s">
        <v>216</v>
      </c>
    </row>
    <row r="177" spans="1:26" ht="14" x14ac:dyDescent="0.25">
      <c r="A177" s="10">
        <v>175</v>
      </c>
      <c r="B177" s="27" t="s">
        <v>84</v>
      </c>
      <c r="C177" s="27" t="s">
        <v>156</v>
      </c>
      <c r="D177" s="28">
        <v>46202</v>
      </c>
      <c r="E177" s="28">
        <v>46233</v>
      </c>
      <c r="F177" s="13">
        <f t="shared" si="45"/>
        <v>32</v>
      </c>
      <c r="G177" s="13">
        <v>900</v>
      </c>
      <c r="H177" s="41">
        <v>1080</v>
      </c>
      <c r="I177" s="52">
        <f t="shared" si="44"/>
        <v>3.7499999999999999E-2</v>
      </c>
      <c r="J177" s="31">
        <f t="shared" si="46"/>
        <v>3.7499999999999999E-2</v>
      </c>
      <c r="K177" s="18" t="b">
        <f>TRUE()</f>
        <v>1</v>
      </c>
      <c r="L177" s="19" t="str">
        <f t="shared" si="47"/>
        <v/>
      </c>
      <c r="M177" s="19" t="b">
        <f>FALSE()</f>
        <v>0</v>
      </c>
      <c r="N177" s="31">
        <f t="shared" si="48"/>
        <v>3.7499999999999999E-2</v>
      </c>
      <c r="O177" s="18" t="b">
        <f>TRUE()</f>
        <v>1</v>
      </c>
      <c r="P177" s="19" t="str">
        <f t="shared" si="49"/>
        <v/>
      </c>
      <c r="Q177" s="19" t="b">
        <f>FALSE()</f>
        <v>0</v>
      </c>
      <c r="R177" s="31">
        <f t="shared" si="50"/>
        <v>3.7499999999999999E-2</v>
      </c>
      <c r="S177" s="18" t="b">
        <f>TRUE()</f>
        <v>1</v>
      </c>
      <c r="T177" s="19"/>
      <c r="U177" s="18" t="b">
        <f>FALSE()</f>
        <v>0</v>
      </c>
      <c r="V177" s="19" t="str">
        <f t="shared" si="43"/>
        <v/>
      </c>
      <c r="W177" s="18" t="b">
        <f>FALSE()</f>
        <v>0</v>
      </c>
      <c r="X177" s="19" t="str">
        <f t="shared" si="42"/>
        <v/>
      </c>
      <c r="Y177" s="18" t="b">
        <f>FALSE()</f>
        <v>0</v>
      </c>
    </row>
    <row r="178" spans="1:26" ht="14" x14ac:dyDescent="0.25">
      <c r="A178" s="10">
        <v>176</v>
      </c>
      <c r="B178" s="27" t="s">
        <v>140</v>
      </c>
      <c r="C178" s="27" t="s">
        <v>57</v>
      </c>
      <c r="D178" s="28">
        <v>46204</v>
      </c>
      <c r="E178" s="28">
        <v>46234</v>
      </c>
      <c r="F178" s="13">
        <f t="shared" si="45"/>
        <v>31</v>
      </c>
      <c r="G178" s="13">
        <v>450</v>
      </c>
      <c r="H178" s="41">
        <v>810</v>
      </c>
      <c r="I178" s="52">
        <f t="shared" si="44"/>
        <v>5.8064516129032261E-2</v>
      </c>
      <c r="J178" s="31">
        <f t="shared" si="46"/>
        <v>5.8064516129032261E-2</v>
      </c>
      <c r="K178" s="18" t="b">
        <f>TRUE()</f>
        <v>1</v>
      </c>
      <c r="L178" s="19" t="str">
        <f t="shared" si="47"/>
        <v/>
      </c>
      <c r="M178" s="19" t="b">
        <f>FALSE()</f>
        <v>0</v>
      </c>
      <c r="N178" s="17" t="str">
        <f t="shared" si="48"/>
        <v/>
      </c>
      <c r="O178" s="18" t="b">
        <f>FALSE()</f>
        <v>0</v>
      </c>
      <c r="P178" s="19" t="str">
        <f t="shared" si="49"/>
        <v/>
      </c>
      <c r="Q178" s="19" t="b">
        <f>FALSE()</f>
        <v>0</v>
      </c>
      <c r="R178" s="17" t="str">
        <f t="shared" si="50"/>
        <v/>
      </c>
      <c r="S178" s="18" t="b">
        <f>FALSE()</f>
        <v>0</v>
      </c>
      <c r="T178" s="19"/>
      <c r="U178" s="18" t="b">
        <f>FALSE()</f>
        <v>0</v>
      </c>
      <c r="V178" s="19" t="str">
        <f t="shared" si="43"/>
        <v/>
      </c>
      <c r="W178" s="18" t="b">
        <f>FALSE()</f>
        <v>0</v>
      </c>
      <c r="X178" s="19" t="str">
        <f t="shared" si="42"/>
        <v/>
      </c>
      <c r="Y178" s="18" t="b">
        <f>FALSE()</f>
        <v>0</v>
      </c>
    </row>
    <row r="179" spans="1:26" ht="14" x14ac:dyDescent="0.25">
      <c r="A179" s="10">
        <v>177</v>
      </c>
      <c r="B179" s="27" t="s">
        <v>155</v>
      </c>
      <c r="C179" s="27" t="s">
        <v>57</v>
      </c>
      <c r="D179" s="28">
        <v>46204</v>
      </c>
      <c r="E179" s="28">
        <v>46234</v>
      </c>
      <c r="F179" s="13">
        <f t="shared" si="45"/>
        <v>31</v>
      </c>
      <c r="G179" s="13">
        <v>900</v>
      </c>
      <c r="H179" s="41">
        <v>1200</v>
      </c>
      <c r="I179" s="52">
        <f t="shared" si="44"/>
        <v>4.3010752688172046E-2</v>
      </c>
      <c r="J179" s="17" t="str">
        <f t="shared" si="46"/>
        <v/>
      </c>
      <c r="K179" s="18" t="b">
        <f>FALSE()</f>
        <v>0</v>
      </c>
      <c r="L179" s="19" t="str">
        <f t="shared" si="47"/>
        <v/>
      </c>
      <c r="M179" s="19" t="b">
        <f>FALSE()</f>
        <v>0</v>
      </c>
      <c r="N179" s="17" t="str">
        <f t="shared" si="48"/>
        <v/>
      </c>
      <c r="O179" s="18" t="b">
        <f>FALSE()</f>
        <v>0</v>
      </c>
      <c r="P179" s="29">
        <f t="shared" si="49"/>
        <v>4.3010752688172046E-2</v>
      </c>
      <c r="Q179" s="19" t="b">
        <f>TRUE()</f>
        <v>1</v>
      </c>
      <c r="R179" s="17" t="str">
        <f t="shared" si="50"/>
        <v/>
      </c>
      <c r="S179" s="18" t="b">
        <f>FALSE()</f>
        <v>0</v>
      </c>
      <c r="T179" s="19">
        <v>0.04</v>
      </c>
      <c r="U179" s="18" t="b">
        <f>TRUE()</f>
        <v>1</v>
      </c>
      <c r="V179" s="19" t="str">
        <f t="shared" si="43"/>
        <v/>
      </c>
      <c r="W179" s="18" t="b">
        <f>FALSE()</f>
        <v>0</v>
      </c>
      <c r="X179" s="19" t="str">
        <f t="shared" ref="X179:X210" si="51">IF(Y179=TRUE(),$I179,"")</f>
        <v/>
      </c>
      <c r="Y179" s="18" t="b">
        <f>FALSE()</f>
        <v>0</v>
      </c>
    </row>
    <row r="180" spans="1:26" ht="14" x14ac:dyDescent="0.25">
      <c r="A180" s="10">
        <v>178</v>
      </c>
      <c r="B180" s="27" t="s">
        <v>202</v>
      </c>
      <c r="C180" s="27" t="s">
        <v>57</v>
      </c>
      <c r="D180" s="28">
        <v>46204</v>
      </c>
      <c r="E180" s="28">
        <v>46234</v>
      </c>
      <c r="F180" s="13">
        <f t="shared" si="45"/>
        <v>31</v>
      </c>
      <c r="G180" s="13">
        <v>900</v>
      </c>
      <c r="H180" s="41">
        <v>900</v>
      </c>
      <c r="I180" s="52">
        <f t="shared" si="44"/>
        <v>3.2258064516129031E-2</v>
      </c>
      <c r="J180" s="17" t="str">
        <f t="shared" si="46"/>
        <v/>
      </c>
      <c r="K180" s="18" t="b">
        <f>FALSE()</f>
        <v>0</v>
      </c>
      <c r="L180" s="29">
        <f t="shared" si="47"/>
        <v>3.2258064516129031E-2</v>
      </c>
      <c r="M180" s="19" t="b">
        <f>TRUE()</f>
        <v>1</v>
      </c>
      <c r="N180" s="17" t="str">
        <f t="shared" si="48"/>
        <v/>
      </c>
      <c r="O180" s="18" t="b">
        <f>FALSE()</f>
        <v>0</v>
      </c>
      <c r="P180" s="19" t="str">
        <f t="shared" si="49"/>
        <v/>
      </c>
      <c r="Q180" s="19" t="b">
        <f>FALSE()</f>
        <v>0</v>
      </c>
      <c r="R180" s="31">
        <f t="shared" si="50"/>
        <v>3.2258064516129031E-2</v>
      </c>
      <c r="S180" s="18" t="b">
        <f>TRUE()</f>
        <v>1</v>
      </c>
      <c r="T180" s="19"/>
      <c r="U180" s="18" t="b">
        <f>TRUE()</f>
        <v>1</v>
      </c>
      <c r="V180" s="19" t="str">
        <f t="shared" si="43"/>
        <v/>
      </c>
      <c r="W180" s="18" t="b">
        <f>FALSE()</f>
        <v>0</v>
      </c>
      <c r="X180" s="19" t="str">
        <f t="shared" si="51"/>
        <v/>
      </c>
      <c r="Y180" s="18" t="b">
        <f>FALSE()</f>
        <v>0</v>
      </c>
    </row>
    <row r="181" spans="1:26" ht="14" x14ac:dyDescent="0.3">
      <c r="A181" s="10">
        <v>179</v>
      </c>
      <c r="B181" s="49" t="s">
        <v>126</v>
      </c>
      <c r="C181" s="49" t="s">
        <v>57</v>
      </c>
      <c r="D181" s="28">
        <v>46204</v>
      </c>
      <c r="E181" s="28">
        <v>46234</v>
      </c>
      <c r="F181" s="35">
        <f t="shared" si="45"/>
        <v>31</v>
      </c>
      <c r="G181" s="67">
        <v>300</v>
      </c>
      <c r="H181" s="68">
        <v>550</v>
      </c>
      <c r="I181" s="69">
        <f t="shared" si="44"/>
        <v>5.9139784946236562E-2</v>
      </c>
      <c r="J181" s="70">
        <f t="shared" si="46"/>
        <v>5.9139784946236562E-2</v>
      </c>
      <c r="K181" s="71" t="b">
        <f>TRUE()</f>
        <v>1</v>
      </c>
      <c r="L181" s="72" t="str">
        <f t="shared" si="47"/>
        <v/>
      </c>
      <c r="M181" s="73" t="b">
        <f>FALSE()</f>
        <v>0</v>
      </c>
      <c r="N181" s="74" t="str">
        <f t="shared" si="48"/>
        <v/>
      </c>
      <c r="O181" s="71" t="b">
        <f>FALSE()</f>
        <v>0</v>
      </c>
      <c r="P181" s="72" t="str">
        <f t="shared" si="49"/>
        <v/>
      </c>
      <c r="Q181" s="73" t="b">
        <f>FALSE()</f>
        <v>0</v>
      </c>
      <c r="R181" s="74" t="str">
        <f t="shared" si="50"/>
        <v/>
      </c>
      <c r="S181" s="71" t="b">
        <f>FALSE()</f>
        <v>0</v>
      </c>
      <c r="T181" s="72"/>
      <c r="U181" s="71" t="b">
        <f>FALSE()</f>
        <v>0</v>
      </c>
      <c r="V181" s="72" t="str">
        <f t="shared" si="43"/>
        <v/>
      </c>
      <c r="W181" s="71" t="b">
        <f>FALSE()</f>
        <v>0</v>
      </c>
      <c r="X181" s="72" t="str">
        <f t="shared" si="51"/>
        <v/>
      </c>
      <c r="Y181" s="71" t="b">
        <f>FALSE()</f>
        <v>0</v>
      </c>
    </row>
    <row r="182" spans="1:26" ht="14" x14ac:dyDescent="0.3">
      <c r="A182" s="10">
        <v>180</v>
      </c>
      <c r="B182" s="49" t="s">
        <v>33</v>
      </c>
      <c r="C182" s="49" t="s">
        <v>57</v>
      </c>
      <c r="D182" s="75">
        <v>46204</v>
      </c>
      <c r="E182" s="75">
        <v>46234</v>
      </c>
      <c r="F182" s="35">
        <f t="shared" si="45"/>
        <v>31</v>
      </c>
      <c r="G182" s="67">
        <v>600</v>
      </c>
      <c r="H182" s="68">
        <v>1100</v>
      </c>
      <c r="I182" s="69">
        <f t="shared" si="44"/>
        <v>5.9139784946236562E-2</v>
      </c>
      <c r="J182" s="74" t="str">
        <f t="shared" si="46"/>
        <v/>
      </c>
      <c r="K182" s="71" t="b">
        <f>FALSE()</f>
        <v>0</v>
      </c>
      <c r="L182" s="72" t="str">
        <f t="shared" si="47"/>
        <v/>
      </c>
      <c r="M182" s="73" t="b">
        <f>FALSE()</f>
        <v>0</v>
      </c>
      <c r="N182" s="74" t="str">
        <f t="shared" si="48"/>
        <v/>
      </c>
      <c r="O182" s="71" t="b">
        <f>FALSE()</f>
        <v>0</v>
      </c>
      <c r="P182" s="76">
        <f t="shared" si="49"/>
        <v>5.9139784946236562E-2</v>
      </c>
      <c r="Q182" s="73" t="b">
        <f>TRUE()</f>
        <v>1</v>
      </c>
      <c r="R182" s="70">
        <f t="shared" si="50"/>
        <v>5.9139784946236562E-2</v>
      </c>
      <c r="S182" s="71" t="b">
        <f>TRUE()</f>
        <v>1</v>
      </c>
      <c r="T182" s="72"/>
      <c r="U182" s="71" t="b">
        <f>FALSE()</f>
        <v>0</v>
      </c>
      <c r="V182" s="72" t="str">
        <f t="shared" si="43"/>
        <v/>
      </c>
      <c r="W182" s="71" t="b">
        <f>FALSE()</f>
        <v>0</v>
      </c>
      <c r="X182" s="72" t="str">
        <f t="shared" si="51"/>
        <v/>
      </c>
      <c r="Y182" s="71" t="b">
        <f>FALSE()</f>
        <v>0</v>
      </c>
    </row>
    <row r="183" spans="1:26" ht="14" x14ac:dyDescent="0.3">
      <c r="A183" s="10">
        <v>181</v>
      </c>
      <c r="B183" s="49" t="s">
        <v>217</v>
      </c>
      <c r="C183" s="49" t="s">
        <v>57</v>
      </c>
      <c r="D183" s="75">
        <v>46204</v>
      </c>
      <c r="E183" s="75">
        <v>46218</v>
      </c>
      <c r="F183" s="35">
        <f t="shared" si="45"/>
        <v>15</v>
      </c>
      <c r="G183" s="67">
        <v>900</v>
      </c>
      <c r="H183" s="68">
        <v>750</v>
      </c>
      <c r="I183" s="69">
        <f t="shared" si="44"/>
        <v>5.5555555555555552E-2</v>
      </c>
      <c r="J183" s="74" t="str">
        <f t="shared" si="46"/>
        <v/>
      </c>
      <c r="K183" s="71" t="b">
        <f>FALSE()</f>
        <v>0</v>
      </c>
      <c r="L183" s="72" t="str">
        <f t="shared" si="47"/>
        <v/>
      </c>
      <c r="M183" s="73" t="b">
        <f>FALSE()</f>
        <v>0</v>
      </c>
      <c r="N183" s="70">
        <f t="shared" si="48"/>
        <v>5.5555555555555552E-2</v>
      </c>
      <c r="O183" s="71" t="b">
        <f>TRUE()</f>
        <v>1</v>
      </c>
      <c r="P183" s="72" t="str">
        <f t="shared" si="49"/>
        <v/>
      </c>
      <c r="Q183" s="73" t="b">
        <f>FALSE()</f>
        <v>0</v>
      </c>
      <c r="R183" s="74" t="str">
        <f t="shared" si="50"/>
        <v/>
      </c>
      <c r="S183" s="71" t="b">
        <f>FALSE()</f>
        <v>0</v>
      </c>
      <c r="T183" s="72"/>
      <c r="U183" s="71" t="b">
        <f>FALSE()</f>
        <v>0</v>
      </c>
      <c r="V183" s="76">
        <f t="shared" si="43"/>
        <v>5.5555555555555552E-2</v>
      </c>
      <c r="W183" s="71" t="b">
        <f>TRUE()</f>
        <v>1</v>
      </c>
      <c r="X183" s="72" t="str">
        <f t="shared" si="51"/>
        <v/>
      </c>
      <c r="Y183" s="71" t="b">
        <f>FALSE()</f>
        <v>0</v>
      </c>
    </row>
    <row r="184" spans="1:26" ht="14" x14ac:dyDescent="0.3">
      <c r="A184" s="10">
        <v>182</v>
      </c>
      <c r="B184" s="49" t="s">
        <v>217</v>
      </c>
      <c r="C184" s="49" t="s">
        <v>57</v>
      </c>
      <c r="D184" s="75">
        <v>46219</v>
      </c>
      <c r="E184" s="75">
        <v>46234</v>
      </c>
      <c r="F184" s="35">
        <f t="shared" si="45"/>
        <v>16</v>
      </c>
      <c r="G184" s="67">
        <v>900</v>
      </c>
      <c r="H184" s="68">
        <v>750</v>
      </c>
      <c r="I184" s="69">
        <f t="shared" si="44"/>
        <v>5.2083333333333336E-2</v>
      </c>
      <c r="J184" s="74" t="str">
        <f t="shared" si="46"/>
        <v/>
      </c>
      <c r="K184" s="71" t="b">
        <f>FALSE()</f>
        <v>0</v>
      </c>
      <c r="L184" s="72" t="str">
        <f t="shared" si="47"/>
        <v/>
      </c>
      <c r="M184" s="73" t="b">
        <f>FALSE()</f>
        <v>0</v>
      </c>
      <c r="N184" s="74" t="str">
        <f t="shared" si="48"/>
        <v/>
      </c>
      <c r="O184" s="71" t="b">
        <f>FALSE()</f>
        <v>0</v>
      </c>
      <c r="P184" s="76">
        <f t="shared" si="49"/>
        <v>5.2083333333333336E-2</v>
      </c>
      <c r="Q184" s="73" t="b">
        <f>TRUE()</f>
        <v>1</v>
      </c>
      <c r="R184" s="70">
        <f t="shared" si="50"/>
        <v>5.2083333333333336E-2</v>
      </c>
      <c r="S184" s="71" t="b">
        <f>TRUE()</f>
        <v>1</v>
      </c>
      <c r="T184" s="72"/>
      <c r="U184" s="71" t="b">
        <f>FALSE()</f>
        <v>0</v>
      </c>
      <c r="V184" s="72" t="str">
        <f t="shared" si="43"/>
        <v/>
      </c>
      <c r="W184" s="71" t="b">
        <f>FALSE()</f>
        <v>0</v>
      </c>
      <c r="X184" s="72" t="str">
        <f t="shared" si="51"/>
        <v/>
      </c>
      <c r="Y184" s="71" t="b">
        <f>FALSE()</f>
        <v>0</v>
      </c>
      <c r="Z184" s="54" t="s">
        <v>216</v>
      </c>
    </row>
    <row r="185" spans="1:26" ht="14" x14ac:dyDescent="0.3">
      <c r="A185" s="10">
        <v>183</v>
      </c>
      <c r="B185" s="49" t="s">
        <v>39</v>
      </c>
      <c r="C185" s="49" t="s">
        <v>166</v>
      </c>
      <c r="D185" s="75">
        <v>46204</v>
      </c>
      <c r="E185" s="75">
        <v>46234</v>
      </c>
      <c r="F185" s="35">
        <f t="shared" si="45"/>
        <v>31</v>
      </c>
      <c r="G185" s="67">
        <v>900</v>
      </c>
      <c r="H185" s="68">
        <v>1440</v>
      </c>
      <c r="I185" s="69">
        <f t="shared" si="44"/>
        <v>5.1612903225806452E-2</v>
      </c>
      <c r="J185" s="74" t="str">
        <f t="shared" si="46"/>
        <v/>
      </c>
      <c r="K185" s="71" t="b">
        <f>FALSE()</f>
        <v>0</v>
      </c>
      <c r="L185" s="72" t="str">
        <f t="shared" si="47"/>
        <v/>
      </c>
      <c r="M185" s="73" t="b">
        <f>FALSE()</f>
        <v>0</v>
      </c>
      <c r="N185" s="74" t="str">
        <f t="shared" si="48"/>
        <v/>
      </c>
      <c r="O185" s="71" t="b">
        <f>FALSE()</f>
        <v>0</v>
      </c>
      <c r="P185" s="76">
        <f t="shared" si="49"/>
        <v>5.1612903225806452E-2</v>
      </c>
      <c r="Q185" s="73" t="b">
        <f>TRUE()</f>
        <v>1</v>
      </c>
      <c r="R185" s="74" t="str">
        <f t="shared" si="50"/>
        <v/>
      </c>
      <c r="S185" s="71" t="b">
        <f>FALSE()</f>
        <v>0</v>
      </c>
      <c r="T185" s="72"/>
      <c r="U185" s="71" t="b">
        <f>TRUE()</f>
        <v>1</v>
      </c>
      <c r="V185" s="76">
        <f t="shared" ref="V185:V216" si="52">IF(W185=TRUE(),$I185,"")</f>
        <v>5.1612903225806452E-2</v>
      </c>
      <c r="W185" s="71" t="b">
        <f>TRUE()</f>
        <v>1</v>
      </c>
      <c r="X185" s="72" t="str">
        <f t="shared" si="51"/>
        <v/>
      </c>
      <c r="Y185" s="71" t="b">
        <f>FALSE()</f>
        <v>0</v>
      </c>
    </row>
    <row r="186" spans="1:26" ht="14" x14ac:dyDescent="0.3">
      <c r="A186" s="10">
        <v>184</v>
      </c>
      <c r="B186" s="49" t="s">
        <v>171</v>
      </c>
      <c r="C186" s="49" t="s">
        <v>57</v>
      </c>
      <c r="D186" s="75">
        <v>46204</v>
      </c>
      <c r="E186" s="75">
        <v>46234</v>
      </c>
      <c r="F186" s="35">
        <f t="shared" si="45"/>
        <v>31</v>
      </c>
      <c r="G186" s="67">
        <v>300</v>
      </c>
      <c r="H186" s="68">
        <v>810</v>
      </c>
      <c r="I186" s="69">
        <f t="shared" si="44"/>
        <v>8.7096774193548387E-2</v>
      </c>
      <c r="J186" s="74" t="str">
        <f t="shared" si="46"/>
        <v/>
      </c>
      <c r="K186" s="71" t="b">
        <f>FALSE()</f>
        <v>0</v>
      </c>
      <c r="L186" s="72" t="str">
        <f t="shared" si="47"/>
        <v/>
      </c>
      <c r="M186" s="73" t="b">
        <f>FALSE()</f>
        <v>0</v>
      </c>
      <c r="N186" s="74" t="str">
        <f t="shared" si="48"/>
        <v/>
      </c>
      <c r="O186" s="71" t="b">
        <f>FALSE()</f>
        <v>0</v>
      </c>
      <c r="P186" s="76">
        <f t="shared" si="49"/>
        <v>8.7096774193548387E-2</v>
      </c>
      <c r="Q186" s="73" t="b">
        <f>TRUE()</f>
        <v>1</v>
      </c>
      <c r="R186" s="74" t="str">
        <f t="shared" si="50"/>
        <v/>
      </c>
      <c r="S186" s="71" t="b">
        <f>FALSE()</f>
        <v>0</v>
      </c>
      <c r="T186" s="72"/>
      <c r="U186" s="71" t="b">
        <f>FALSE()</f>
        <v>0</v>
      </c>
      <c r="V186" s="72" t="str">
        <f t="shared" si="52"/>
        <v/>
      </c>
      <c r="W186" s="71" t="b">
        <f>FALSE()</f>
        <v>0</v>
      </c>
      <c r="X186" s="72" t="str">
        <f t="shared" si="51"/>
        <v/>
      </c>
      <c r="Y186" s="71" t="b">
        <f>FALSE()</f>
        <v>0</v>
      </c>
    </row>
    <row r="187" spans="1:26" ht="14" x14ac:dyDescent="0.25">
      <c r="A187" s="10">
        <v>185</v>
      </c>
      <c r="B187" s="27" t="s">
        <v>37</v>
      </c>
      <c r="C187" s="27" t="s">
        <v>69</v>
      </c>
      <c r="D187" s="28">
        <v>46204</v>
      </c>
      <c r="E187" s="28">
        <v>46218</v>
      </c>
      <c r="F187" s="13">
        <f t="shared" si="45"/>
        <v>15</v>
      </c>
      <c r="G187" s="13">
        <v>450</v>
      </c>
      <c r="H187" s="41">
        <v>337.5</v>
      </c>
      <c r="I187" s="52">
        <f t="shared" si="44"/>
        <v>0.05</v>
      </c>
      <c r="J187" s="17" t="str">
        <f t="shared" si="46"/>
        <v/>
      </c>
      <c r="K187" s="18" t="b">
        <f>FALSE()</f>
        <v>0</v>
      </c>
      <c r="L187" s="19" t="str">
        <f t="shared" si="47"/>
        <v/>
      </c>
      <c r="M187" s="19" t="b">
        <f>FALSE()</f>
        <v>0</v>
      </c>
      <c r="N187" s="17" t="str">
        <f t="shared" si="48"/>
        <v/>
      </c>
      <c r="O187" s="18" t="b">
        <f>FALSE()</f>
        <v>0</v>
      </c>
      <c r="P187" s="19" t="str">
        <f t="shared" si="49"/>
        <v/>
      </c>
      <c r="Q187" s="19" t="b">
        <f>FALSE()</f>
        <v>0</v>
      </c>
      <c r="R187" s="31">
        <f t="shared" si="50"/>
        <v>0.05</v>
      </c>
      <c r="S187" s="18" t="b">
        <f>TRUE()</f>
        <v>1</v>
      </c>
      <c r="T187" s="19"/>
      <c r="U187" s="18" t="b">
        <f>FALSE()</f>
        <v>0</v>
      </c>
      <c r="V187" s="19" t="str">
        <f t="shared" si="52"/>
        <v/>
      </c>
      <c r="W187" s="18" t="b">
        <f>FALSE()</f>
        <v>0</v>
      </c>
      <c r="X187" s="19" t="str">
        <f t="shared" si="51"/>
        <v/>
      </c>
      <c r="Y187" s="18" t="b">
        <f>FALSE()</f>
        <v>0</v>
      </c>
    </row>
    <row r="188" spans="1:26" ht="14" x14ac:dyDescent="0.25">
      <c r="A188" s="10">
        <v>186</v>
      </c>
      <c r="B188" s="27" t="s">
        <v>77</v>
      </c>
      <c r="C188" s="27" t="s">
        <v>57</v>
      </c>
      <c r="D188" s="28">
        <v>46206</v>
      </c>
      <c r="E188" s="28">
        <v>46222</v>
      </c>
      <c r="F188" s="13">
        <f t="shared" si="45"/>
        <v>17</v>
      </c>
      <c r="G188" s="13">
        <v>1350</v>
      </c>
      <c r="H188" s="41">
        <v>2677.5</v>
      </c>
      <c r="I188" s="52">
        <f t="shared" si="44"/>
        <v>0.11666666666666667</v>
      </c>
      <c r="J188" s="17" t="str">
        <f t="shared" si="46"/>
        <v/>
      </c>
      <c r="K188" s="18" t="b">
        <f>FALSE()</f>
        <v>0</v>
      </c>
      <c r="L188" s="19" t="str">
        <f t="shared" si="47"/>
        <v/>
      </c>
      <c r="M188" s="19" t="b">
        <f>FALSE()</f>
        <v>0</v>
      </c>
      <c r="N188" s="31">
        <f t="shared" si="48"/>
        <v>0.11666666666666667</v>
      </c>
      <c r="O188" s="18" t="b">
        <f>TRUE()</f>
        <v>1</v>
      </c>
      <c r="P188" s="29">
        <f t="shared" si="49"/>
        <v>0.11666666666666667</v>
      </c>
      <c r="Q188" s="19" t="b">
        <f>TRUE()</f>
        <v>1</v>
      </c>
      <c r="R188" s="17" t="str">
        <f t="shared" si="50"/>
        <v/>
      </c>
      <c r="S188" s="18" t="b">
        <f>FALSE()</f>
        <v>0</v>
      </c>
      <c r="T188" s="19"/>
      <c r="U188" s="18" t="b">
        <f>TRUE()</f>
        <v>1</v>
      </c>
      <c r="V188" s="19" t="str">
        <f t="shared" si="52"/>
        <v/>
      </c>
      <c r="W188" s="18" t="b">
        <f>FALSE()</f>
        <v>0</v>
      </c>
      <c r="X188" s="19" t="str">
        <f t="shared" si="51"/>
        <v/>
      </c>
      <c r="Y188" s="18" t="b">
        <f>FALSE()</f>
        <v>0</v>
      </c>
    </row>
    <row r="189" spans="1:26" ht="14" x14ac:dyDescent="0.3">
      <c r="A189" s="10">
        <v>187</v>
      </c>
      <c r="B189" s="49" t="s">
        <v>202</v>
      </c>
      <c r="C189" s="49" t="s">
        <v>57</v>
      </c>
      <c r="D189" s="75">
        <v>46205</v>
      </c>
      <c r="E189" s="75">
        <v>46235</v>
      </c>
      <c r="F189" s="35">
        <f t="shared" si="45"/>
        <v>31</v>
      </c>
      <c r="G189" s="67">
        <v>2250</v>
      </c>
      <c r="H189" s="68">
        <v>3529.4</v>
      </c>
      <c r="I189" s="69">
        <f t="shared" si="44"/>
        <v>5.0600716845878135E-2</v>
      </c>
      <c r="J189" s="74" t="str">
        <f t="shared" si="46"/>
        <v/>
      </c>
      <c r="K189" s="71" t="b">
        <f>FALSE()</f>
        <v>0</v>
      </c>
      <c r="L189" s="77">
        <f t="shared" si="47"/>
        <v>5.0600716845878135E-2</v>
      </c>
      <c r="M189" s="73" t="b">
        <f>TRUE()</f>
        <v>1</v>
      </c>
      <c r="N189" s="78">
        <f t="shared" si="48"/>
        <v>5.0600716845878135E-2</v>
      </c>
      <c r="O189" s="71" t="b">
        <f>TRUE()</f>
        <v>1</v>
      </c>
      <c r="P189" s="77">
        <f t="shared" si="49"/>
        <v>5.0600716845878135E-2</v>
      </c>
      <c r="Q189" s="73" t="b">
        <f>TRUE()</f>
        <v>1</v>
      </c>
      <c r="R189" s="78">
        <f t="shared" si="50"/>
        <v>5.0600716845878135E-2</v>
      </c>
      <c r="S189" s="79" t="b">
        <f>TRUE()</f>
        <v>1</v>
      </c>
      <c r="T189" s="72"/>
      <c r="U189" s="71" t="b">
        <f>TRUE()</f>
        <v>1</v>
      </c>
      <c r="V189" s="72" t="str">
        <f t="shared" si="52"/>
        <v/>
      </c>
      <c r="W189" s="71" t="b">
        <f>FALSE()</f>
        <v>0</v>
      </c>
      <c r="X189" s="72" t="str">
        <f t="shared" si="51"/>
        <v/>
      </c>
      <c r="Y189" s="71" t="b">
        <f>FALSE()</f>
        <v>0</v>
      </c>
    </row>
    <row r="190" spans="1:26" ht="14" x14ac:dyDescent="0.3">
      <c r="A190" s="10">
        <v>188</v>
      </c>
      <c r="B190" s="49" t="s">
        <v>159</v>
      </c>
      <c r="C190" s="49" t="s">
        <v>57</v>
      </c>
      <c r="D190" s="75">
        <v>46204</v>
      </c>
      <c r="E190" s="75">
        <v>46234</v>
      </c>
      <c r="F190" s="35">
        <f t="shared" si="45"/>
        <v>31</v>
      </c>
      <c r="G190" s="67">
        <v>900</v>
      </c>
      <c r="H190" s="68">
        <v>1620</v>
      </c>
      <c r="I190" s="69">
        <f t="shared" si="44"/>
        <v>5.8064516129032261E-2</v>
      </c>
      <c r="J190" s="74" t="str">
        <f t="shared" si="46"/>
        <v/>
      </c>
      <c r="K190" s="71" t="b">
        <f>FALSE()</f>
        <v>0</v>
      </c>
      <c r="L190" s="77">
        <f t="shared" si="47"/>
        <v>5.8064516129032261E-2</v>
      </c>
      <c r="M190" s="73" t="b">
        <f>TRUE()</f>
        <v>1</v>
      </c>
      <c r="N190" s="74" t="str">
        <f t="shared" si="48"/>
        <v/>
      </c>
      <c r="O190" s="71" t="b">
        <f>FALSE()</f>
        <v>0</v>
      </c>
      <c r="P190" s="72" t="str">
        <f t="shared" si="49"/>
        <v/>
      </c>
      <c r="Q190" s="73" t="b">
        <f>FALSE()</f>
        <v>0</v>
      </c>
      <c r="R190" s="78">
        <f t="shared" si="50"/>
        <v>5.8064516129032261E-2</v>
      </c>
      <c r="S190" s="79" t="b">
        <f>TRUE()</f>
        <v>1</v>
      </c>
      <c r="T190" s="72"/>
      <c r="U190" s="71" t="b">
        <f>FALSE()</f>
        <v>0</v>
      </c>
      <c r="V190" s="72" t="str">
        <f t="shared" si="52"/>
        <v/>
      </c>
      <c r="W190" s="71" t="b">
        <f>FALSE()</f>
        <v>0</v>
      </c>
      <c r="X190" s="72" t="str">
        <f t="shared" si="51"/>
        <v/>
      </c>
      <c r="Y190" s="71" t="b">
        <f>FALSE()</f>
        <v>0</v>
      </c>
    </row>
    <row r="191" spans="1:26" ht="14" x14ac:dyDescent="0.3">
      <c r="A191" s="10">
        <v>189</v>
      </c>
      <c r="B191" s="49" t="s">
        <v>51</v>
      </c>
      <c r="C191" s="49" t="s">
        <v>166</v>
      </c>
      <c r="D191" s="75">
        <v>46221</v>
      </c>
      <c r="E191" s="75">
        <v>46251</v>
      </c>
      <c r="F191" s="35">
        <f t="shared" si="45"/>
        <v>31</v>
      </c>
      <c r="G191" s="67">
        <v>300</v>
      </c>
      <c r="H191" s="68">
        <v>550</v>
      </c>
      <c r="I191" s="69">
        <f t="shared" si="44"/>
        <v>5.9139784946236562E-2</v>
      </c>
      <c r="J191" s="74" t="str">
        <f t="shared" si="46"/>
        <v/>
      </c>
      <c r="K191" s="71" t="b">
        <f>FALSE()</f>
        <v>0</v>
      </c>
      <c r="L191" s="72" t="str">
        <f t="shared" si="47"/>
        <v/>
      </c>
      <c r="M191" s="73" t="b">
        <f>FALSE()</f>
        <v>0</v>
      </c>
      <c r="N191" s="74" t="str">
        <f t="shared" si="48"/>
        <v/>
      </c>
      <c r="O191" s="71" t="b">
        <f>FALSE()</f>
        <v>0</v>
      </c>
      <c r="P191" s="76">
        <f t="shared" si="49"/>
        <v>5.9139784946236562E-2</v>
      </c>
      <c r="Q191" s="73" t="b">
        <f>TRUE()</f>
        <v>1</v>
      </c>
      <c r="R191" s="74" t="str">
        <f t="shared" si="50"/>
        <v/>
      </c>
      <c r="S191" s="71" t="b">
        <f>FALSE()</f>
        <v>0</v>
      </c>
      <c r="T191" s="72"/>
      <c r="U191" s="71" t="b">
        <f>FALSE()</f>
        <v>0</v>
      </c>
      <c r="V191" s="72" t="str">
        <f t="shared" si="52"/>
        <v/>
      </c>
      <c r="W191" s="71" t="b">
        <f>FALSE()</f>
        <v>0</v>
      </c>
      <c r="X191" s="72" t="str">
        <f t="shared" si="51"/>
        <v/>
      </c>
      <c r="Y191" s="71" t="b">
        <f>FALSE()</f>
        <v>0</v>
      </c>
    </row>
    <row r="192" spans="1:26" ht="14" x14ac:dyDescent="0.3">
      <c r="A192" s="10">
        <v>190</v>
      </c>
      <c r="B192" s="49"/>
      <c r="C192" s="49"/>
      <c r="D192" s="75"/>
      <c r="E192" s="75"/>
      <c r="F192" s="35">
        <f t="shared" si="45"/>
        <v>1</v>
      </c>
      <c r="G192" s="67"/>
      <c r="H192" s="67"/>
      <c r="I192" s="69" t="str">
        <f t="shared" si="44"/>
        <v/>
      </c>
      <c r="J192" s="74" t="str">
        <f t="shared" si="46"/>
        <v/>
      </c>
      <c r="K192" s="71" t="b">
        <f>FALSE()</f>
        <v>0</v>
      </c>
      <c r="L192" s="72" t="str">
        <f t="shared" si="47"/>
        <v/>
      </c>
      <c r="M192" s="73" t="b">
        <f>FALSE()</f>
        <v>0</v>
      </c>
      <c r="N192" s="74" t="str">
        <f t="shared" si="48"/>
        <v/>
      </c>
      <c r="O192" s="71" t="b">
        <f>FALSE()</f>
        <v>0</v>
      </c>
      <c r="P192" s="72" t="str">
        <f t="shared" si="49"/>
        <v/>
      </c>
      <c r="Q192" s="73" t="b">
        <f>FALSE()</f>
        <v>0</v>
      </c>
      <c r="R192" s="74" t="str">
        <f t="shared" si="50"/>
        <v/>
      </c>
      <c r="S192" s="71" t="b">
        <f>FALSE()</f>
        <v>0</v>
      </c>
      <c r="T192" s="72"/>
      <c r="U192" s="71" t="b">
        <f>FALSE()</f>
        <v>0</v>
      </c>
      <c r="V192" s="72" t="str">
        <f t="shared" si="52"/>
        <v/>
      </c>
      <c r="W192" s="71" t="b">
        <f>FALSE()</f>
        <v>0</v>
      </c>
      <c r="X192" s="72" t="str">
        <f t="shared" si="51"/>
        <v/>
      </c>
      <c r="Y192" s="71" t="b">
        <f>FALSE()</f>
        <v>0</v>
      </c>
    </row>
    <row r="193" spans="1:25" ht="14" x14ac:dyDescent="0.3">
      <c r="A193" s="10">
        <v>191</v>
      </c>
      <c r="B193" s="49"/>
      <c r="C193" s="49"/>
      <c r="D193" s="75"/>
      <c r="E193" s="75"/>
      <c r="F193" s="35">
        <f t="shared" si="45"/>
        <v>1</v>
      </c>
      <c r="G193" s="67"/>
      <c r="H193" s="67"/>
      <c r="I193" s="69" t="str">
        <f t="shared" si="44"/>
        <v/>
      </c>
      <c r="J193" s="74" t="str">
        <f t="shared" si="46"/>
        <v/>
      </c>
      <c r="K193" s="71" t="b">
        <f>FALSE()</f>
        <v>0</v>
      </c>
      <c r="L193" s="72" t="str">
        <f t="shared" si="47"/>
        <v/>
      </c>
      <c r="M193" s="73" t="b">
        <f>FALSE()</f>
        <v>0</v>
      </c>
      <c r="N193" s="74" t="str">
        <f t="shared" si="48"/>
        <v/>
      </c>
      <c r="O193" s="71" t="b">
        <f>FALSE()</f>
        <v>0</v>
      </c>
      <c r="P193" s="72" t="str">
        <f t="shared" si="49"/>
        <v/>
      </c>
      <c r="Q193" s="73" t="b">
        <f>FALSE()</f>
        <v>0</v>
      </c>
      <c r="R193" s="74" t="str">
        <f t="shared" si="50"/>
        <v/>
      </c>
      <c r="S193" s="71" t="b">
        <f>FALSE()</f>
        <v>0</v>
      </c>
      <c r="T193" s="72"/>
      <c r="U193" s="71" t="b">
        <f>FALSE()</f>
        <v>0</v>
      </c>
      <c r="V193" s="72" t="str">
        <f t="shared" si="52"/>
        <v/>
      </c>
      <c r="W193" s="71" t="b">
        <f>FALSE()</f>
        <v>0</v>
      </c>
      <c r="X193" s="72" t="str">
        <f t="shared" si="51"/>
        <v/>
      </c>
      <c r="Y193" s="71" t="b">
        <f>FALSE()</f>
        <v>0</v>
      </c>
    </row>
    <row r="194" spans="1:25" ht="14" x14ac:dyDescent="0.3">
      <c r="A194" s="10">
        <v>192</v>
      </c>
      <c r="B194" s="49"/>
      <c r="C194" s="49"/>
      <c r="D194" s="75"/>
      <c r="E194" s="75"/>
      <c r="F194" s="35">
        <f t="shared" si="45"/>
        <v>1</v>
      </c>
      <c r="G194" s="67"/>
      <c r="H194" s="67"/>
      <c r="I194" s="69" t="str">
        <f t="shared" si="44"/>
        <v/>
      </c>
      <c r="J194" s="74" t="str">
        <f t="shared" si="46"/>
        <v/>
      </c>
      <c r="K194" s="71" t="b">
        <f>FALSE()</f>
        <v>0</v>
      </c>
      <c r="L194" s="72" t="str">
        <f t="shared" si="47"/>
        <v/>
      </c>
      <c r="M194" s="73" t="b">
        <f>FALSE()</f>
        <v>0</v>
      </c>
      <c r="N194" s="74" t="str">
        <f t="shared" si="48"/>
        <v/>
      </c>
      <c r="O194" s="71" t="b">
        <f>FALSE()</f>
        <v>0</v>
      </c>
      <c r="P194" s="72" t="str">
        <f t="shared" si="49"/>
        <v/>
      </c>
      <c r="Q194" s="73" t="b">
        <f>FALSE()</f>
        <v>0</v>
      </c>
      <c r="R194" s="74" t="str">
        <f t="shared" si="50"/>
        <v/>
      </c>
      <c r="S194" s="71" t="b">
        <f>FALSE()</f>
        <v>0</v>
      </c>
      <c r="T194" s="72"/>
      <c r="U194" s="71" t="b">
        <f>FALSE()</f>
        <v>0</v>
      </c>
      <c r="V194" s="72" t="str">
        <f t="shared" si="52"/>
        <v/>
      </c>
      <c r="W194" s="71" t="b">
        <f>FALSE()</f>
        <v>0</v>
      </c>
      <c r="X194" s="72" t="str">
        <f t="shared" si="51"/>
        <v/>
      </c>
      <c r="Y194" s="71" t="b">
        <f>FALSE()</f>
        <v>0</v>
      </c>
    </row>
    <row r="195" spans="1:25" ht="14" x14ac:dyDescent="0.3">
      <c r="A195" s="10">
        <v>193</v>
      </c>
      <c r="B195" s="49"/>
      <c r="C195" s="49"/>
      <c r="D195" s="75"/>
      <c r="E195" s="75"/>
      <c r="F195" s="35">
        <f t="shared" si="45"/>
        <v>1</v>
      </c>
      <c r="G195" s="67"/>
      <c r="H195" s="67"/>
      <c r="I195" s="69" t="str">
        <f t="shared" si="44"/>
        <v/>
      </c>
      <c r="J195" s="74" t="str">
        <f t="shared" si="46"/>
        <v/>
      </c>
      <c r="K195" s="71" t="b">
        <f>FALSE()</f>
        <v>0</v>
      </c>
      <c r="L195" s="72" t="str">
        <f t="shared" si="47"/>
        <v/>
      </c>
      <c r="M195" s="73" t="b">
        <f>FALSE()</f>
        <v>0</v>
      </c>
      <c r="N195" s="74" t="str">
        <f t="shared" si="48"/>
        <v/>
      </c>
      <c r="O195" s="71" t="b">
        <f>FALSE()</f>
        <v>0</v>
      </c>
      <c r="P195" s="72" t="str">
        <f t="shared" si="49"/>
        <v/>
      </c>
      <c r="Q195" s="73" t="b">
        <f>FALSE()</f>
        <v>0</v>
      </c>
      <c r="R195" s="74" t="str">
        <f t="shared" si="50"/>
        <v/>
      </c>
      <c r="S195" s="71" t="b">
        <f>FALSE()</f>
        <v>0</v>
      </c>
      <c r="T195" s="72"/>
      <c r="U195" s="71" t="b">
        <f>FALSE()</f>
        <v>0</v>
      </c>
      <c r="V195" s="72" t="str">
        <f t="shared" si="52"/>
        <v/>
      </c>
      <c r="W195" s="71" t="b">
        <f>FALSE()</f>
        <v>0</v>
      </c>
      <c r="X195" s="72" t="str">
        <f t="shared" si="51"/>
        <v/>
      </c>
      <c r="Y195" s="71" t="b">
        <f>FALSE()</f>
        <v>0</v>
      </c>
    </row>
    <row r="196" spans="1:25" ht="14" x14ac:dyDescent="0.3">
      <c r="A196" s="10">
        <v>194</v>
      </c>
      <c r="B196" s="49"/>
      <c r="C196" s="49"/>
      <c r="D196" s="75"/>
      <c r="E196" s="75"/>
      <c r="F196" s="35">
        <f t="shared" ref="F196:F227" si="53">(E196-D196)+1</f>
        <v>1</v>
      </c>
      <c r="G196" s="67"/>
      <c r="H196" s="67"/>
      <c r="I196" s="69" t="str">
        <f t="shared" si="44"/>
        <v/>
      </c>
      <c r="J196" s="74" t="str">
        <f t="shared" si="46"/>
        <v/>
      </c>
      <c r="K196" s="71" t="b">
        <f>FALSE()</f>
        <v>0</v>
      </c>
      <c r="L196" s="72" t="str">
        <f t="shared" si="47"/>
        <v/>
      </c>
      <c r="M196" s="73" t="b">
        <f>FALSE()</f>
        <v>0</v>
      </c>
      <c r="N196" s="74" t="str">
        <f t="shared" si="48"/>
        <v/>
      </c>
      <c r="O196" s="71" t="b">
        <f>FALSE()</f>
        <v>0</v>
      </c>
      <c r="P196" s="72" t="str">
        <f t="shared" si="49"/>
        <v/>
      </c>
      <c r="Q196" s="73" t="b">
        <f>FALSE()</f>
        <v>0</v>
      </c>
      <c r="R196" s="74" t="str">
        <f t="shared" si="50"/>
        <v/>
      </c>
      <c r="S196" s="71" t="b">
        <f>FALSE()</f>
        <v>0</v>
      </c>
      <c r="T196" s="72"/>
      <c r="U196" s="71" t="b">
        <f>FALSE()</f>
        <v>0</v>
      </c>
      <c r="V196" s="72" t="str">
        <f t="shared" si="52"/>
        <v/>
      </c>
      <c r="W196" s="71" t="b">
        <f>FALSE()</f>
        <v>0</v>
      </c>
      <c r="X196" s="72" t="str">
        <f t="shared" si="51"/>
        <v/>
      </c>
      <c r="Y196" s="71" t="b">
        <f>FALSE()</f>
        <v>0</v>
      </c>
    </row>
    <row r="197" spans="1:25" ht="14" x14ac:dyDescent="0.3">
      <c r="A197" s="10">
        <v>195</v>
      </c>
      <c r="B197" s="49"/>
      <c r="C197" s="49"/>
      <c r="D197" s="75"/>
      <c r="E197" s="75"/>
      <c r="F197" s="35">
        <f t="shared" si="53"/>
        <v>1</v>
      </c>
      <c r="G197" s="67"/>
      <c r="H197" s="67"/>
      <c r="I197" s="69" t="str">
        <f t="shared" si="44"/>
        <v/>
      </c>
      <c r="J197" s="74" t="str">
        <f t="shared" ref="J197:J228" si="54">IF(K197=TRUE(),$I197,"")</f>
        <v/>
      </c>
      <c r="K197" s="71" t="b">
        <f>FALSE()</f>
        <v>0</v>
      </c>
      <c r="L197" s="72" t="str">
        <f t="shared" ref="L197:L228" si="55">IF(M197=TRUE(),$I197,"")</f>
        <v/>
      </c>
      <c r="M197" s="73" t="b">
        <f>FALSE()</f>
        <v>0</v>
      </c>
      <c r="N197" s="74" t="str">
        <f t="shared" ref="N197:N228" si="56">IF(O197=TRUE(),$I197,"")</f>
        <v/>
      </c>
      <c r="O197" s="71" t="b">
        <f>FALSE()</f>
        <v>0</v>
      </c>
      <c r="P197" s="72" t="str">
        <f t="shared" ref="P197:P228" si="57">IF(Q197=TRUE(),$I197,"")</f>
        <v/>
      </c>
      <c r="Q197" s="73" t="b">
        <f>FALSE()</f>
        <v>0</v>
      </c>
      <c r="R197" s="74" t="str">
        <f t="shared" ref="R197:R228" si="58">IF(S197=TRUE(),$I197,"")</f>
        <v/>
      </c>
      <c r="S197" s="71" t="b">
        <f>FALSE()</f>
        <v>0</v>
      </c>
      <c r="T197" s="72"/>
      <c r="U197" s="71" t="b">
        <f>FALSE()</f>
        <v>0</v>
      </c>
      <c r="V197" s="72" t="str">
        <f t="shared" si="52"/>
        <v/>
      </c>
      <c r="W197" s="71" t="b">
        <f>FALSE()</f>
        <v>0</v>
      </c>
      <c r="X197" s="72" t="str">
        <f t="shared" si="51"/>
        <v/>
      </c>
      <c r="Y197" s="71" t="b">
        <f>FALSE()</f>
        <v>0</v>
      </c>
    </row>
    <row r="198" spans="1:25" ht="14" x14ac:dyDescent="0.3">
      <c r="A198" s="10">
        <v>196</v>
      </c>
      <c r="B198" s="49"/>
      <c r="C198" s="49"/>
      <c r="D198" s="75"/>
      <c r="E198" s="75"/>
      <c r="F198" s="35">
        <f t="shared" si="53"/>
        <v>1</v>
      </c>
      <c r="G198" s="67"/>
      <c r="H198" s="67"/>
      <c r="I198" s="69" t="str">
        <f t="shared" si="44"/>
        <v/>
      </c>
      <c r="J198" s="74" t="str">
        <f t="shared" si="54"/>
        <v/>
      </c>
      <c r="K198" s="71" t="b">
        <f>FALSE()</f>
        <v>0</v>
      </c>
      <c r="L198" s="72" t="str">
        <f t="shared" si="55"/>
        <v/>
      </c>
      <c r="M198" s="73" t="b">
        <f>FALSE()</f>
        <v>0</v>
      </c>
      <c r="N198" s="74" t="str">
        <f t="shared" si="56"/>
        <v/>
      </c>
      <c r="O198" s="71" t="b">
        <f>FALSE()</f>
        <v>0</v>
      </c>
      <c r="P198" s="72" t="str">
        <f t="shared" si="57"/>
        <v/>
      </c>
      <c r="Q198" s="73" t="b">
        <f>FALSE()</f>
        <v>0</v>
      </c>
      <c r="R198" s="74" t="str">
        <f t="shared" si="58"/>
        <v/>
      </c>
      <c r="S198" s="71" t="b">
        <f>FALSE()</f>
        <v>0</v>
      </c>
      <c r="T198" s="72"/>
      <c r="U198" s="71" t="b">
        <f>FALSE()</f>
        <v>0</v>
      </c>
      <c r="V198" s="72" t="str">
        <f t="shared" si="52"/>
        <v/>
      </c>
      <c r="W198" s="71" t="b">
        <f>FALSE()</f>
        <v>0</v>
      </c>
      <c r="X198" s="72" t="str">
        <f t="shared" si="51"/>
        <v/>
      </c>
      <c r="Y198" s="71" t="b">
        <f>FALSE()</f>
        <v>0</v>
      </c>
    </row>
    <row r="199" spans="1:25" ht="14" x14ac:dyDescent="0.3">
      <c r="A199" s="10">
        <v>197</v>
      </c>
      <c r="B199" s="49"/>
      <c r="C199" s="49"/>
      <c r="D199" s="75"/>
      <c r="E199" s="75"/>
      <c r="F199" s="35">
        <f t="shared" si="53"/>
        <v>1</v>
      </c>
      <c r="G199" s="67"/>
      <c r="H199" s="67"/>
      <c r="I199" s="69" t="str">
        <f t="shared" si="44"/>
        <v/>
      </c>
      <c r="J199" s="74" t="str">
        <f t="shared" si="54"/>
        <v/>
      </c>
      <c r="K199" s="71" t="b">
        <f>FALSE()</f>
        <v>0</v>
      </c>
      <c r="L199" s="72" t="str">
        <f t="shared" si="55"/>
        <v/>
      </c>
      <c r="M199" s="73" t="b">
        <f>FALSE()</f>
        <v>0</v>
      </c>
      <c r="N199" s="74" t="str">
        <f t="shared" si="56"/>
        <v/>
      </c>
      <c r="O199" s="71" t="b">
        <f>FALSE()</f>
        <v>0</v>
      </c>
      <c r="P199" s="72" t="str">
        <f t="shared" si="57"/>
        <v/>
      </c>
      <c r="Q199" s="73" t="b">
        <f>FALSE()</f>
        <v>0</v>
      </c>
      <c r="R199" s="74" t="str">
        <f t="shared" si="58"/>
        <v/>
      </c>
      <c r="S199" s="71" t="b">
        <f>FALSE()</f>
        <v>0</v>
      </c>
      <c r="T199" s="72"/>
      <c r="U199" s="71" t="b">
        <f>FALSE()</f>
        <v>0</v>
      </c>
      <c r="V199" s="72" t="str">
        <f t="shared" si="52"/>
        <v/>
      </c>
      <c r="W199" s="71" t="b">
        <f>FALSE()</f>
        <v>0</v>
      </c>
      <c r="X199" s="72" t="str">
        <f t="shared" si="51"/>
        <v/>
      </c>
      <c r="Y199" s="71" t="b">
        <f>FALSE()</f>
        <v>0</v>
      </c>
    </row>
    <row r="200" spans="1:25" ht="14" x14ac:dyDescent="0.3">
      <c r="A200" s="10">
        <v>198</v>
      </c>
      <c r="B200" s="49"/>
      <c r="C200" s="49"/>
      <c r="D200" s="75"/>
      <c r="E200" s="75"/>
      <c r="F200" s="35">
        <f t="shared" si="53"/>
        <v>1</v>
      </c>
      <c r="G200" s="67"/>
      <c r="H200" s="67"/>
      <c r="I200" s="69" t="str">
        <f t="shared" si="44"/>
        <v/>
      </c>
      <c r="J200" s="74" t="str">
        <f t="shared" si="54"/>
        <v/>
      </c>
      <c r="K200" s="71" t="b">
        <f>FALSE()</f>
        <v>0</v>
      </c>
      <c r="L200" s="72" t="str">
        <f t="shared" si="55"/>
        <v/>
      </c>
      <c r="M200" s="73" t="b">
        <f>FALSE()</f>
        <v>0</v>
      </c>
      <c r="N200" s="74" t="str">
        <f t="shared" si="56"/>
        <v/>
      </c>
      <c r="O200" s="71" t="b">
        <f>FALSE()</f>
        <v>0</v>
      </c>
      <c r="P200" s="72" t="str">
        <f t="shared" si="57"/>
        <v/>
      </c>
      <c r="Q200" s="73" t="b">
        <f>FALSE()</f>
        <v>0</v>
      </c>
      <c r="R200" s="74" t="str">
        <f t="shared" si="58"/>
        <v/>
      </c>
      <c r="S200" s="71" t="b">
        <f>FALSE()</f>
        <v>0</v>
      </c>
      <c r="T200" s="72"/>
      <c r="U200" s="71" t="b">
        <f>FALSE()</f>
        <v>0</v>
      </c>
      <c r="V200" s="72" t="str">
        <f t="shared" si="52"/>
        <v/>
      </c>
      <c r="W200" s="71" t="b">
        <f>FALSE()</f>
        <v>0</v>
      </c>
      <c r="X200" s="72" t="str">
        <f t="shared" si="51"/>
        <v/>
      </c>
      <c r="Y200" s="71" t="b">
        <f>FALSE()</f>
        <v>0</v>
      </c>
    </row>
    <row r="201" spans="1:25" ht="14" x14ac:dyDescent="0.3">
      <c r="A201" s="10">
        <v>199</v>
      </c>
      <c r="B201" s="49"/>
      <c r="C201" s="49"/>
      <c r="D201" s="75"/>
      <c r="E201" s="75"/>
      <c r="F201" s="35">
        <f t="shared" si="53"/>
        <v>1</v>
      </c>
      <c r="G201" s="67"/>
      <c r="H201" s="67"/>
      <c r="I201" s="69" t="str">
        <f t="shared" si="44"/>
        <v/>
      </c>
      <c r="J201" s="74" t="str">
        <f t="shared" si="54"/>
        <v/>
      </c>
      <c r="K201" s="71" t="b">
        <f>FALSE()</f>
        <v>0</v>
      </c>
      <c r="L201" s="72" t="str">
        <f t="shared" si="55"/>
        <v/>
      </c>
      <c r="M201" s="73" t="b">
        <f>FALSE()</f>
        <v>0</v>
      </c>
      <c r="N201" s="74" t="str">
        <f t="shared" si="56"/>
        <v/>
      </c>
      <c r="O201" s="71" t="b">
        <f>FALSE()</f>
        <v>0</v>
      </c>
      <c r="P201" s="72" t="str">
        <f t="shared" si="57"/>
        <v/>
      </c>
      <c r="Q201" s="73" t="b">
        <f>FALSE()</f>
        <v>0</v>
      </c>
      <c r="R201" s="74" t="str">
        <f t="shared" si="58"/>
        <v/>
      </c>
      <c r="S201" s="71" t="b">
        <f>FALSE()</f>
        <v>0</v>
      </c>
      <c r="T201" s="72"/>
      <c r="U201" s="71" t="b">
        <f>FALSE()</f>
        <v>0</v>
      </c>
      <c r="V201" s="72" t="str">
        <f t="shared" si="52"/>
        <v/>
      </c>
      <c r="W201" s="71" t="b">
        <f>FALSE()</f>
        <v>0</v>
      </c>
      <c r="X201" s="72" t="str">
        <f t="shared" si="51"/>
        <v/>
      </c>
      <c r="Y201" s="71" t="b">
        <f>FALSE()</f>
        <v>0</v>
      </c>
    </row>
    <row r="202" spans="1:25" ht="14" x14ac:dyDescent="0.3">
      <c r="A202" s="10">
        <v>200</v>
      </c>
      <c r="B202" s="49"/>
      <c r="C202" s="49"/>
      <c r="D202" s="75"/>
      <c r="E202" s="75"/>
      <c r="F202" s="35">
        <f t="shared" si="53"/>
        <v>1</v>
      </c>
      <c r="G202" s="67"/>
      <c r="H202" s="67"/>
      <c r="I202" s="69" t="str">
        <f t="shared" si="44"/>
        <v/>
      </c>
      <c r="J202" s="74" t="str">
        <f t="shared" si="54"/>
        <v/>
      </c>
      <c r="K202" s="71" t="b">
        <f>FALSE()</f>
        <v>0</v>
      </c>
      <c r="L202" s="72" t="str">
        <f t="shared" si="55"/>
        <v/>
      </c>
      <c r="M202" s="73" t="b">
        <f>FALSE()</f>
        <v>0</v>
      </c>
      <c r="N202" s="74" t="str">
        <f t="shared" si="56"/>
        <v/>
      </c>
      <c r="O202" s="71" t="b">
        <f>FALSE()</f>
        <v>0</v>
      </c>
      <c r="P202" s="72" t="str">
        <f t="shared" si="57"/>
        <v/>
      </c>
      <c r="Q202" s="73" t="b">
        <f>FALSE()</f>
        <v>0</v>
      </c>
      <c r="R202" s="74" t="str">
        <f t="shared" si="58"/>
        <v/>
      </c>
      <c r="S202" s="71" t="b">
        <f>FALSE()</f>
        <v>0</v>
      </c>
      <c r="T202" s="72"/>
      <c r="U202" s="71" t="b">
        <f>FALSE()</f>
        <v>0</v>
      </c>
      <c r="V202" s="72" t="str">
        <f t="shared" si="52"/>
        <v/>
      </c>
      <c r="W202" s="71" t="b">
        <f>FALSE()</f>
        <v>0</v>
      </c>
      <c r="X202" s="72" t="str">
        <f t="shared" si="51"/>
        <v/>
      </c>
      <c r="Y202" s="71" t="b">
        <f>FALSE()</f>
        <v>0</v>
      </c>
    </row>
  </sheetData>
  <mergeCells count="19">
    <mergeCell ref="T3:U3"/>
    <mergeCell ref="V3:W3"/>
    <mergeCell ref="X3:Y3"/>
    <mergeCell ref="B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U2"/>
    <mergeCell ref="J3:K3"/>
    <mergeCell ref="L3:M3"/>
    <mergeCell ref="N3:O3"/>
    <mergeCell ref="P3:Q3"/>
    <mergeCell ref="R3:S3"/>
  </mergeCells>
  <conditionalFormatting sqref="J4:Y180 J187:Y188">
    <cfRule type="expression" dxfId="0" priority="2">
      <formula>LEN(TRIM(J4))=0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RENTABILIDAD 2026</vt:lpstr>
      <vt:lpstr>Copia de RENTABILIDAD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Gustavo Martínez</cp:lastModifiedBy>
  <cp:revision>0</cp:revision>
  <dcterms:created xsi:type="dcterms:W3CDTF">2026-08-30T20:57:38Z</dcterms:created>
  <dcterms:modified xsi:type="dcterms:W3CDTF">2026-08-31T03:21:37Z</dcterms:modified>
  <dc:language>en-US</dc:language>
</cp:coreProperties>
</file>