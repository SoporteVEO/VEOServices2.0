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rturo\Downloads\"/>
    </mc:Choice>
  </mc:AlternateContent>
  <xr:revisionPtr revIDLastSave="0" documentId="13_ncr:1_{E3561E47-1A82-40C5-ABE2-970A7C5481B0}" xr6:coauthVersionLast="47" xr6:coauthVersionMax="47" xr10:uidLastSave="{00000000-0000-0000-0000-000000000000}"/>
  <bookViews>
    <workbookView xWindow="-120" yWindow="-120" windowWidth="38640" windowHeight="21120" xr2:uid="{00000000-000D-0000-FFFF-FFFF00000000}"/>
  </bookViews>
  <sheets>
    <sheet name="Pipeline de Proyectos" sheetId="1" r:id="rId1"/>
  </sheets>
  <definedNames>
    <definedName name="_xlnm._FilterDatabase" localSheetId="0" hidden="1">'Pipeline de Proyectos'!$A$5:$G$43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 i="1" l="1"/>
  <c r="K21" i="1"/>
  <c r="K24" i="1"/>
  <c r="K25" i="1"/>
  <c r="K42" i="1"/>
  <c r="K43" i="1"/>
  <c r="K14" i="1"/>
  <c r="K11" i="1"/>
  <c r="K6" i="1"/>
  <c r="J15" i="1"/>
  <c r="K15" i="1" s="1"/>
  <c r="J16" i="1"/>
  <c r="J17" i="1"/>
  <c r="K17" i="1" s="1"/>
  <c r="J18" i="1"/>
  <c r="K18" i="1" s="1"/>
  <c r="J19" i="1"/>
  <c r="K19" i="1" s="1"/>
  <c r="J20" i="1"/>
  <c r="K20" i="1" s="1"/>
  <c r="J21" i="1"/>
  <c r="J22" i="1"/>
  <c r="K22" i="1" s="1"/>
  <c r="J23" i="1"/>
  <c r="K23" i="1" s="1"/>
  <c r="J24" i="1"/>
  <c r="J25" i="1"/>
  <c r="J26" i="1"/>
  <c r="K26" i="1" s="1"/>
  <c r="J27" i="1"/>
  <c r="K27" i="1" s="1"/>
  <c r="J35" i="1"/>
  <c r="K35" i="1" s="1"/>
  <c r="J36" i="1"/>
  <c r="K36" i="1" s="1"/>
  <c r="J38" i="1"/>
  <c r="K38" i="1" s="1"/>
  <c r="J39" i="1"/>
  <c r="K39" i="1" s="1"/>
  <c r="J40" i="1"/>
  <c r="K40" i="1" s="1"/>
  <c r="J41" i="1"/>
  <c r="K41" i="1" s="1"/>
  <c r="J42" i="1"/>
  <c r="J43" i="1"/>
  <c r="J14" i="1"/>
  <c r="J11" i="1"/>
  <c r="J6" i="1"/>
</calcChain>
</file>

<file path=xl/sharedStrings.xml><?xml version="1.0" encoding="utf-8"?>
<sst xmlns="http://schemas.openxmlformats.org/spreadsheetml/2006/main" count="250" uniqueCount="135">
  <si>
    <t>🗂  PIPELINE DE PROYECTOS — PLATAFORMA DIGITAL</t>
  </si>
  <si>
    <t>Presentado al CEO  •  Fecha: 04 de May de 2026  •  Responsable: Equipo de Desarrollo</t>
  </si>
  <si>
    <t>#</t>
  </si>
  <si>
    <t>Responsable / Área</t>
  </si>
  <si>
    <t>Proyecto / Funcionalidad</t>
  </si>
  <si>
    <t>Módulo / Sistema</t>
  </si>
  <si>
    <t>Prioridad</t>
  </si>
  <si>
    <t>Estado</t>
  </si>
  <si>
    <t>Notas</t>
  </si>
  <si>
    <t>DANY
(Producción)</t>
  </si>
  <si>
    <t>Cuadro de producción — Filtro por fecha</t>
  </si>
  <si>
    <t>Dashboard Producción</t>
  </si>
  <si>
    <t>🔴 Alta</t>
  </si>
  <si>
    <t>Pendiente</t>
  </si>
  <si>
    <t>Incluye filtro de fecha, visualización de instalaciones y acceso a Excel</t>
  </si>
  <si>
    <t>Cuadro de producción — Quién la instaló</t>
  </si>
  <si>
    <t>Registro del instalador por orden de trabajo</t>
  </si>
  <si>
    <t>Cuadro de producción — Aprobar o denegar</t>
  </si>
  <si>
    <t>Flujo de aprobación/rechazo con notificación</t>
  </si>
  <si>
    <t>Cuadro de producción — Acceso a Excel</t>
  </si>
  <si>
    <t>Exportación directa desde el módulo</t>
  </si>
  <si>
    <t>Filtro por material</t>
  </si>
  <si>
    <t>🟡 Media</t>
  </si>
  <si>
    <t>Clasificación de órdenes por tipo de material</t>
  </si>
  <si>
    <t>Catálogo por código de valla</t>
  </si>
  <si>
    <t>Catálogo de Vallas</t>
  </si>
  <si>
    <t>Búsqueda y consulta rápida por código único</t>
  </si>
  <si>
    <t>Ver valla en Google Maps</t>
  </si>
  <si>
    <t>Geolocalización</t>
  </si>
  <si>
    <t>Integración de mapa interactivo por ubicación GPS</t>
  </si>
  <si>
    <t>Generar PDF con foto y link de Google Maps</t>
  </si>
  <si>
    <t>Reportes</t>
  </si>
  <si>
    <t>PDF automatizado con imagen de valla + enlace de mapa</t>
  </si>
  <si>
    <t>Notificar equipo — Contratos por vencer</t>
  </si>
  <si>
    <t>Alertas / CRM</t>
  </si>
  <si>
    <t>Notificación automática con días de anticipación configurable</t>
  </si>
  <si>
    <t>GUSTAVO</t>
  </si>
  <si>
    <t>Automatización de Órdenes de Producción (OP)</t>
  </si>
  <si>
    <t>Automatización OP</t>
  </si>
  <si>
    <t>Generación automática de OP desde el sistema</t>
  </si>
  <si>
    <t>RENÉ
(Operación)</t>
  </si>
  <si>
    <t>Control de impuestos municipales — Deudas vs. pagos</t>
  </si>
  <si>
    <t>Control Fiscal</t>
  </si>
  <si>
    <t>Tablero en línea: saldo pendiente y pagos realizados por municipio</t>
  </si>
  <si>
    <t>Rentabilidad de vallas estáticas</t>
  </si>
  <si>
    <t>Finanzas / Operación</t>
  </si>
  <si>
    <t>Cálculo de ingresos vs. costos por valla</t>
  </si>
  <si>
    <t>Reporte de calidad operativa (impresión, fallas, correcciones)</t>
  </si>
  <si>
    <t>Calidad</t>
  </si>
  <si>
    <t>Indicadores de volumen de impresión, fallas y reprocesos</t>
  </si>
  <si>
    <t>Módulo de reprocesos (con autorización)</t>
  </si>
  <si>
    <t>Operación</t>
  </si>
  <si>
    <t>Flujo de aprobación para trabajos que requieren reproceso</t>
  </si>
  <si>
    <t>Control de inventario de activos</t>
  </si>
  <si>
    <t>Inventario</t>
  </si>
  <si>
    <t>Registro y seguimiento de activos físicos de la empresa</t>
  </si>
  <si>
    <t>VENTAS</t>
  </si>
  <si>
    <t>Descarga de contrato de arrendamiento desde dashboard</t>
  </si>
  <si>
    <t>Contratos / CRM</t>
  </si>
  <si>
    <t>Generación y descarga de contrato en PDF desde la plataforma</t>
  </si>
  <si>
    <t>Automatización</t>
  </si>
  <si>
    <t>OP se crea al confirmar venta sin intervención manual</t>
  </si>
  <si>
    <t>Integrar Orden de Producción en dashboard (mancuerna disponibilidad + rentabilidad)</t>
  </si>
  <si>
    <t>Dashboard Central</t>
  </si>
  <si>
    <t>Unifica disponibilidad, producción y rentabilidad en una sola vista</t>
  </si>
  <si>
    <t>Generar cotización desde vallas estáticas</t>
  </si>
  <si>
    <t>Cotizaciones</t>
  </si>
  <si>
    <t>Módulo de cotización rápida vinculado al catálogo de vallas</t>
  </si>
  <si>
    <t>BESY
(Créditos &amp; Facturación)</t>
  </si>
  <si>
    <t>DTE automático — Integración factura.gob.sv</t>
  </si>
  <si>
    <t>Facturación Electrónica</t>
  </si>
  <si>
    <t>Emisión automática de DTE integrada al portal del MH</t>
  </si>
  <si>
    <t>Rango de facturación fecha a fecha (DTE + retenciones)</t>
  </si>
  <si>
    <t>Reportes Financieros</t>
  </si>
  <si>
    <t>Administración, inteligencia de negocios y reportes dinámicos</t>
  </si>
  <si>
    <t>Reporte de retenciones pendientes de recuperar</t>
  </si>
  <si>
    <t>Lista de documentos con retenciones no recuperadas aún</t>
  </si>
  <si>
    <t>CARMEN</t>
  </si>
  <si>
    <t>Filtro de vendedor en contratos por vencer</t>
  </si>
  <si>
    <t>CRM / Contratos</t>
  </si>
  <si>
    <t>Segmentación por vendedor en reporte de contratos próximos a vencer</t>
  </si>
  <si>
    <t>Foto diurna y nocturna de vallas — Reporte de instalación</t>
  </si>
  <si>
    <t>Captura dual para vallas de San Salvador en reporte de instalación</t>
  </si>
  <si>
    <t>Incluir medidas de valla en E-Commerce</t>
  </si>
  <si>
    <t>E-Commerce</t>
  </si>
  <si>
    <t>🟢 Baja</t>
  </si>
  <si>
    <t>Mostrar dimensiones en la ficha de producto</t>
  </si>
  <si>
    <t>Incluir precio de producción en E-Commerce</t>
  </si>
  <si>
    <t>Precio de impresión: $13/m² reflejado en el e-commerce</t>
  </si>
  <si>
    <t>Reporte de mantenimiento</t>
  </si>
  <si>
    <t>Operación / Reportes</t>
  </si>
  <si>
    <t>Historial y programación de mantenimiento por valla</t>
  </si>
  <si>
    <t>Tráfico vehicular de vallas / Alcance</t>
  </si>
  <si>
    <t>Inteligencia Comercial</t>
  </si>
  <si>
    <t>Datos de aforo vehicular para medir alcance publicitario</t>
  </si>
  <si>
    <t>Incluir píxeles en información de pantallas</t>
  </si>
  <si>
    <t>E-Commerce / Catálogo</t>
  </si>
  <si>
    <t>Especificación técnica de resolución en pantallas digitales</t>
  </si>
  <si>
    <t>ROXANA
(RRHH &amp; Compras)</t>
  </si>
  <si>
    <t>Módulo de compras — Flujo completo (solicitud → pago a proveedor)</t>
  </si>
  <si>
    <t>Compras</t>
  </si>
  <si>
    <t>Desde solicitud del colaborador hasta envío de comprobante de pago al proveedor</t>
  </si>
  <si>
    <t>Envío de comprobante de salario por correo (colaboradores / LAR)</t>
  </si>
  <si>
    <t>RRHH</t>
  </si>
  <si>
    <t>Distribución automática de recibos de salario vía email</t>
  </si>
  <si>
    <t>Módulo de Recursos Humanos en dashboard</t>
  </si>
  <si>
    <t>Centralización de gestión de personal en la plataforma</t>
  </si>
  <si>
    <t>Constancia de sueldo y empleo — Autogestión en perfil</t>
  </si>
  <si>
    <t>Cada colaborador puede generarla desde su perfil</t>
  </si>
  <si>
    <t>Solicitud de incapacidades desde dashboard (con reporte)</t>
  </si>
  <si>
    <t>Flujo digital de solicitud y seguimiento de incapacidades</t>
  </si>
  <si>
    <t>Módulo de calificación de productividad de empleados (con reporte)</t>
  </si>
  <si>
    <t>Evaluación de desempeño con generación de reporte</t>
  </si>
  <si>
    <t>MAGGY</t>
  </si>
  <si>
    <t>Reporte de ventas — Extraer desde Brilo (ERP)</t>
  </si>
  <si>
    <t>Integración Brilo</t>
  </si>
  <si>
    <t>Sincronización de datos de ventas desde Brilo al dashboard</t>
  </si>
  <si>
    <t>Facturación — Extraer desde Brilo (ERP)</t>
  </si>
  <si>
    <t>Datos de facturación sincronizados desde Brilo</t>
  </si>
  <si>
    <t>Integrar dashboard mensual en VEO Services</t>
  </si>
  <si>
    <t>Consolidación de métricas mensuales en portal VEO Services</t>
  </si>
  <si>
    <t>📋  OBSERVACIONES DEL DESARROLLADOR</t>
  </si>
  <si>
    <t xml:space="preserve">  Observación 1: Comunicación interna — Slack</t>
  </si>
  <si>
    <t>Se recomienda integrar Slack como plataforma de comunicación oficial para la empresa. Esto permitirá centralizar los avisos del sistema (alertas de contratos, aprobaciones, notificaciones de producción) directamente en los canales del equipo, mejorando la trazabilidad y reduciendo el uso de WhatsApp o correo informal.</t>
  </si>
  <si>
    <t xml:space="preserve">  Observación 2: Gestión del conocimiento — Notion</t>
  </si>
  <si>
    <t>Utilizar Notion como repositorio central de notas, documentación y procesos estandarizados. Al integrarlo con Claude Cowork, el equipo podrá consultar y actualizar procesos en tiempo real con asistencia de IA. Notion también servirá para estandarizar flujos operativos y mantener una base de conocimiento accesible para todos.</t>
  </si>
  <si>
    <t xml:space="preserve">  Observación 3: Integración estratégica — Brilo (ERP) + HubSpot</t>
  </si>
  <si>
    <t>Documento generado el 04/05/2026  •  Confidencial — Solo para uso interno del CEO y liderazgo ejecutivo</t>
  </si>
  <si>
    <t>Es clave atender las necesidades del equipo para mejorar la experiencia de cliente. Se propone integrar Brilo (ERP) con HubSpot en el nuevo dashboard (VEO Services) de manera que el equipo pueda hacer consultas rápidas sobre disponibilidad y estado de vallas publicitarias. Esta mancuerna agilizará la operación comercial y de producción, impactando positivamente en el desempeño general y en la satisfacción del cliente.</t>
  </si>
  <si>
    <t>Impacto de horas</t>
  </si>
  <si>
    <t>Diario</t>
  </si>
  <si>
    <t>Mensual</t>
  </si>
  <si>
    <t>Tiempo de desarrollo (dias)</t>
  </si>
  <si>
    <t>Anual</t>
  </si>
  <si>
    <t>Generar Orden de Producción automáticamente PANTALLAS Y FIJAS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</si>
</sst>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8"/>
      <color rgb="FFFFFFFF"/>
      <name val="Calibri"/>
    </font>
    <font>
      <i/>
      <sz val="10"/>
      <color rgb="FFAAAAAA"/>
      <name val="Calibri"/>
    </font>
    <font>
      <b/>
      <sz val="10"/>
      <color rgb="FFFFFFFF"/>
      <name val="Calibri"/>
    </font>
    <font>
      <b/>
      <sz val="9"/>
      <color rgb="FF888888"/>
      <name val="Calibri"/>
    </font>
    <font>
      <b/>
      <sz val="10"/>
      <color rgb="FF1A5276"/>
      <name val="Calibri"/>
    </font>
    <font>
      <sz val="10"/>
      <name val="Calibri"/>
    </font>
    <font>
      <i/>
      <sz val="9"/>
      <color rgb="FF555555"/>
      <name val="Calibri"/>
    </font>
    <font>
      <b/>
      <sz val="9"/>
      <color rgb="FF922B21"/>
      <name val="Calibri"/>
    </font>
    <font>
      <b/>
      <sz val="9"/>
      <color rgb="FF1D6A2B"/>
      <name val="Calibri"/>
    </font>
    <font>
      <sz val="9"/>
      <color rgb="FF444444"/>
      <name val="Calibri"/>
    </font>
    <font>
      <b/>
      <sz val="9"/>
      <color rgb="FF7D6608"/>
      <name val="Calibri"/>
    </font>
    <font>
      <b/>
      <sz val="10"/>
      <color rgb="FF1E8449"/>
      <name val="Calibri"/>
    </font>
    <font>
      <b/>
      <sz val="10"/>
      <color rgb="FF7D6608"/>
      <name val="Calibri"/>
    </font>
    <font>
      <b/>
      <sz val="10"/>
      <color rgb="FF6C3483"/>
      <name val="Calibri"/>
    </font>
    <font>
      <b/>
      <sz val="10"/>
      <color rgb="FF922B21"/>
      <name val="Calibri"/>
    </font>
    <font>
      <b/>
      <sz val="10"/>
      <color rgb="FF784212"/>
      <name val="Calibri"/>
    </font>
    <font>
      <b/>
      <sz val="10"/>
      <color rgb="FF78281F"/>
      <name val="Calibri"/>
    </font>
    <font>
      <b/>
      <sz val="13"/>
      <color rgb="FFFFFFFF"/>
      <name val="Calibri"/>
    </font>
    <font>
      <b/>
      <sz val="10"/>
      <color rgb="FF1B3A5C"/>
      <name val="Calibri"/>
    </font>
    <font>
      <sz val="10"/>
      <color rgb="FF333333"/>
      <name val="Calibri"/>
    </font>
    <font>
      <i/>
      <sz val="9"/>
      <color rgb="FFAAAAAA"/>
      <name val="Calibri"/>
    </font>
    <font>
      <i/>
      <sz val="9"/>
      <name val="Calibri"/>
      <family val="2"/>
    </font>
    <font>
      <b/>
      <sz val="11"/>
      <color rgb="FF555555"/>
      <name val="Calibri"/>
      <family val="2"/>
    </font>
    <font>
      <b/>
      <sz val="10"/>
      <color rgb="FFFFFFFF"/>
      <name val="Calibri"/>
      <family val="2"/>
    </font>
    <font>
      <i/>
      <sz val="9"/>
      <color rgb="FF555555"/>
      <name val="Calibri"/>
      <family val="2"/>
    </font>
  </fonts>
  <fills count="20">
    <fill>
      <patternFill patternType="none"/>
    </fill>
    <fill>
      <patternFill patternType="gray125"/>
    </fill>
    <fill>
      <patternFill patternType="solid">
        <fgColor rgb="FF1B3A5C"/>
      </patternFill>
    </fill>
    <fill>
      <patternFill patternType="solid">
        <fgColor rgb="FFF0F4F8"/>
      </patternFill>
    </fill>
    <fill>
      <patternFill patternType="solid">
        <fgColor rgb="FF2E6DA4"/>
      </patternFill>
    </fill>
    <fill>
      <patternFill patternType="solid">
        <fgColor rgb="FFFFFFFF"/>
      </patternFill>
    </fill>
    <fill>
      <patternFill patternType="solid">
        <fgColor rgb="FFFFE0E0"/>
      </patternFill>
    </fill>
    <fill>
      <patternFill patternType="solid">
        <fgColor rgb="FFD4EDDA"/>
      </patternFill>
    </fill>
    <fill>
      <patternFill patternType="solid">
        <fgColor rgb="FFD6E4F0"/>
      </patternFill>
    </fill>
    <fill>
      <patternFill patternType="solid">
        <fgColor rgb="FFFFF3CD"/>
      </patternFill>
    </fill>
    <fill>
      <patternFill patternType="solid">
        <fgColor rgb="FFE8F8F5"/>
      </patternFill>
    </fill>
    <fill>
      <patternFill patternType="solid">
        <fgColor rgb="FFF5EEF8"/>
      </patternFill>
    </fill>
    <fill>
      <patternFill patternType="solid">
        <fgColor rgb="FFFDEDEC"/>
      </patternFill>
    </fill>
    <fill>
      <patternFill patternType="solid">
        <fgColor rgb="FFFDF2E9"/>
      </patternFill>
    </fill>
    <fill>
      <patternFill patternType="solid">
        <fgColor rgb="FFF9EBEA"/>
      </patternFill>
    </fill>
    <fill>
      <patternFill patternType="solid">
        <fgColor rgb="FFE9F7EF"/>
      </patternFill>
    </fill>
    <fill>
      <patternFill patternType="solid">
        <fgColor rgb="FFE8F4FD"/>
      </patternFill>
    </fill>
    <fill>
      <patternFill patternType="solid">
        <fgColor rgb="FFF7F9FC"/>
      </patternFill>
    </fill>
    <fill>
      <patternFill patternType="solid">
        <fgColor rgb="FFFFFF00"/>
        <bgColor indexed="64"/>
      </patternFill>
    </fill>
    <fill>
      <patternFill patternType="solid">
        <fgColor theme="5" tint="0.39997558519241921"/>
        <bgColor indexed="64"/>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medium">
        <color rgb="FF1B3A5C"/>
      </left>
      <right style="medium">
        <color rgb="FF1B3A5C"/>
      </right>
      <top style="medium">
        <color rgb="FF1B3A5C"/>
      </top>
      <bottom style="medium">
        <color rgb="FF1B3A5C"/>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s>
  <cellStyleXfs count="1">
    <xf numFmtId="0" fontId="0" fillId="0" borderId="0"/>
  </cellStyleXfs>
  <cellXfs count="83">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6" fillId="5"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10" fillId="5" borderId="1" xfId="0" applyFont="1" applyFill="1" applyBorder="1" applyAlignment="1">
      <alignment horizontal="left" vertical="center" wrapText="1"/>
    </xf>
    <xf numFmtId="0" fontId="4" fillId="8" borderId="1" xfId="0" applyFont="1" applyFill="1" applyBorder="1" applyAlignment="1">
      <alignment horizontal="center" vertical="center"/>
    </xf>
    <xf numFmtId="0" fontId="6" fillId="8" borderId="1" xfId="0" applyFont="1" applyFill="1" applyBorder="1" applyAlignment="1">
      <alignment horizontal="left" vertical="center" wrapText="1"/>
    </xf>
    <xf numFmtId="0" fontId="7" fillId="8" borderId="1" xfId="0" applyFont="1" applyFill="1" applyBorder="1" applyAlignment="1">
      <alignment horizontal="center" vertical="center" wrapText="1"/>
    </xf>
    <xf numFmtId="0" fontId="10" fillId="8" borderId="1" xfId="0" applyFont="1" applyFill="1" applyBorder="1" applyAlignment="1">
      <alignment horizontal="left" vertical="center" wrapText="1"/>
    </xf>
    <xf numFmtId="0" fontId="11" fillId="9" borderId="1" xfId="0" applyFont="1" applyFill="1" applyBorder="1" applyAlignment="1">
      <alignment horizontal="center" vertical="center" wrapText="1"/>
    </xf>
    <xf numFmtId="0" fontId="12" fillId="10" borderId="1" xfId="0" applyFont="1" applyFill="1" applyBorder="1" applyAlignment="1">
      <alignment horizontal="center" vertical="center" wrapText="1"/>
    </xf>
    <xf numFmtId="0" fontId="14" fillId="11" borderId="1" xfId="0" applyFont="1" applyFill="1" applyBorder="1" applyAlignment="1">
      <alignment horizontal="center" vertical="center" wrapText="1"/>
    </xf>
    <xf numFmtId="0" fontId="15" fillId="12" borderId="1" xfId="0" applyFont="1" applyFill="1" applyBorder="1" applyAlignment="1">
      <alignment horizontal="center" vertical="center" wrapText="1"/>
    </xf>
    <xf numFmtId="0" fontId="16" fillId="13"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17" fillId="14" borderId="1" xfId="0" applyFont="1" applyFill="1" applyBorder="1" applyAlignment="1">
      <alignment horizontal="center" vertical="center" wrapText="1"/>
    </xf>
    <xf numFmtId="0" fontId="12" fillId="15" borderId="1"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22" fillId="8"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23" fillId="8" borderId="1" xfId="0" applyFont="1" applyFill="1" applyBorder="1" applyAlignment="1">
      <alignment horizontal="center" vertical="center" wrapText="1"/>
    </xf>
    <xf numFmtId="0" fontId="23" fillId="5" borderId="1" xfId="0" applyFont="1" applyFill="1" applyBorder="1" applyAlignment="1">
      <alignment horizontal="center" vertical="center" wrapText="1"/>
    </xf>
    <xf numFmtId="0" fontId="24" fillId="4" borderId="3" xfId="0" applyFont="1" applyFill="1" applyBorder="1" applyAlignment="1">
      <alignment horizontal="center" vertical="center" wrapText="1"/>
    </xf>
    <xf numFmtId="0" fontId="17"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7" fillId="18" borderId="1" xfId="0" applyFont="1" applyFill="1" applyBorder="1" applyAlignment="1">
      <alignment horizontal="center" vertical="center" wrapText="1"/>
    </xf>
    <xf numFmtId="0" fontId="8" fillId="18" borderId="1" xfId="0" applyFont="1" applyFill="1" applyBorder="1" applyAlignment="1">
      <alignment horizontal="center" vertical="center" wrapText="1"/>
    </xf>
    <xf numFmtId="0" fontId="9" fillId="18" borderId="1" xfId="0" applyFont="1" applyFill="1" applyBorder="1" applyAlignment="1">
      <alignment horizontal="center" vertical="center"/>
    </xf>
    <xf numFmtId="0" fontId="10" fillId="18" borderId="1" xfId="0" applyFont="1" applyFill="1" applyBorder="1" applyAlignment="1">
      <alignment horizontal="left" vertical="center" wrapText="1"/>
    </xf>
    <xf numFmtId="0" fontId="6" fillId="18" borderId="1" xfId="0" applyFont="1" applyFill="1" applyBorder="1" applyAlignment="1">
      <alignment horizontal="center" vertical="center" wrapText="1"/>
    </xf>
    <xf numFmtId="0" fontId="22" fillId="18" borderId="1" xfId="0" applyFont="1" applyFill="1" applyBorder="1" applyAlignment="1">
      <alignment horizontal="center" vertical="center" wrapText="1"/>
    </xf>
    <xf numFmtId="0" fontId="23"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14" fillId="18" borderId="1" xfId="0" applyFont="1" applyFill="1" applyBorder="1" applyAlignment="1">
      <alignment horizontal="center" vertical="center" wrapText="1"/>
    </xf>
    <xf numFmtId="0" fontId="6" fillId="19" borderId="1" xfId="0" applyFont="1" applyFill="1" applyBorder="1" applyAlignment="1">
      <alignment horizontal="left" vertical="center" wrapText="1"/>
    </xf>
    <xf numFmtId="0" fontId="7" fillId="19" borderId="1" xfId="0" applyFont="1" applyFill="1" applyBorder="1" applyAlignment="1">
      <alignment horizontal="center" vertical="center" wrapText="1"/>
    </xf>
    <xf numFmtId="0" fontId="8" fillId="19" borderId="1" xfId="0" applyFont="1" applyFill="1" applyBorder="1" applyAlignment="1">
      <alignment horizontal="center" vertical="center" wrapText="1"/>
    </xf>
    <xf numFmtId="0" fontId="9" fillId="19" borderId="1" xfId="0" applyFont="1" applyFill="1" applyBorder="1" applyAlignment="1">
      <alignment horizontal="center" vertical="center"/>
    </xf>
    <xf numFmtId="0" fontId="10" fillId="19" borderId="1" xfId="0" applyFont="1" applyFill="1" applyBorder="1" applyAlignment="1">
      <alignment horizontal="left" vertical="center" wrapText="1"/>
    </xf>
    <xf numFmtId="0" fontId="11" fillId="19" borderId="1" xfId="0" applyFont="1" applyFill="1" applyBorder="1" applyAlignment="1">
      <alignment horizontal="center" vertical="center" wrapText="1"/>
    </xf>
    <xf numFmtId="0" fontId="6" fillId="19" borderId="1" xfId="0" applyFont="1" applyFill="1" applyBorder="1" applyAlignment="1">
      <alignment horizontal="center" vertical="center" wrapText="1"/>
    </xf>
    <xf numFmtId="0" fontId="22" fillId="19" borderId="1" xfId="0" applyFont="1" applyFill="1" applyBorder="1" applyAlignment="1">
      <alignment horizontal="center" vertical="center" wrapText="1"/>
    </xf>
    <xf numFmtId="0" fontId="23" fillId="19" borderId="1" xfId="0" applyFont="1" applyFill="1" applyBorder="1" applyAlignment="1">
      <alignment horizontal="center" vertical="center" wrapText="1"/>
    </xf>
    <xf numFmtId="0" fontId="13" fillId="19" borderId="1"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0" xfId="0" applyFont="1" applyFill="1" applyAlignment="1">
      <alignment horizontal="center" vertical="center" wrapText="1"/>
    </xf>
    <xf numFmtId="0" fontId="3" fillId="4" borderId="5" xfId="0" applyFont="1" applyFill="1" applyBorder="1" applyAlignment="1">
      <alignment horizontal="center" vertical="center" wrapText="1"/>
    </xf>
    <xf numFmtId="0" fontId="2" fillId="3" borderId="0" xfId="0" applyFont="1" applyFill="1" applyAlignment="1">
      <alignment horizontal="center" vertical="center"/>
    </xf>
    <xf numFmtId="0" fontId="0" fillId="0" borderId="0" xfId="0"/>
    <xf numFmtId="0" fontId="20" fillId="5" borderId="1" xfId="0" applyFont="1" applyFill="1" applyBorder="1" applyAlignment="1">
      <alignment horizontal="left" vertical="center" wrapText="1"/>
    </xf>
    <xf numFmtId="0" fontId="1" fillId="2" borderId="0" xfId="0" applyFont="1" applyFill="1" applyAlignment="1">
      <alignment horizontal="center" vertical="center"/>
    </xf>
    <xf numFmtId="0" fontId="21" fillId="17" borderId="0" xfId="0" applyFont="1" applyFill="1" applyAlignment="1">
      <alignment horizontal="center" vertical="center"/>
    </xf>
    <xf numFmtId="0" fontId="19" fillId="16" borderId="1" xfId="0" applyFont="1" applyFill="1" applyBorder="1" applyAlignment="1">
      <alignment horizontal="left" vertical="center"/>
    </xf>
    <xf numFmtId="0" fontId="18" fillId="2" borderId="2" xfId="0" applyFont="1" applyFill="1" applyBorder="1" applyAlignment="1">
      <alignment horizontal="center" vertical="center"/>
    </xf>
    <xf numFmtId="0" fontId="5" fillId="18" borderId="1" xfId="0" applyFont="1" applyFill="1" applyBorder="1" applyAlignment="1">
      <alignment horizontal="center" vertical="center" wrapText="1"/>
    </xf>
    <xf numFmtId="0" fontId="6" fillId="18" borderId="6" xfId="0" applyFont="1" applyFill="1" applyBorder="1" applyAlignment="1">
      <alignment horizontal="center" vertical="center" wrapText="1"/>
    </xf>
    <xf numFmtId="0" fontId="25" fillId="18" borderId="6" xfId="0" applyFont="1" applyFill="1" applyBorder="1" applyAlignment="1">
      <alignment horizontal="center" vertical="center" wrapText="1"/>
    </xf>
    <xf numFmtId="0" fontId="22" fillId="18" borderId="6" xfId="0" applyFont="1" applyFill="1" applyBorder="1" applyAlignment="1">
      <alignment horizontal="center" vertical="center" wrapText="1"/>
    </xf>
    <xf numFmtId="0" fontId="23" fillId="18" borderId="6" xfId="0" applyFont="1" applyFill="1" applyBorder="1" applyAlignment="1">
      <alignment horizontal="center" vertical="center" wrapText="1"/>
    </xf>
    <xf numFmtId="0" fontId="6" fillId="18" borderId="3" xfId="0" applyFont="1" applyFill="1" applyBorder="1" applyAlignment="1">
      <alignment horizontal="center" vertical="center" wrapText="1"/>
    </xf>
    <xf numFmtId="0" fontId="25" fillId="18" borderId="3" xfId="0" applyFont="1" applyFill="1" applyBorder="1" applyAlignment="1">
      <alignment horizontal="center" vertical="center" wrapText="1"/>
    </xf>
    <xf numFmtId="0" fontId="22" fillId="18" borderId="3" xfId="0" applyFont="1" applyFill="1" applyBorder="1" applyAlignment="1">
      <alignment horizontal="center" vertical="center" wrapText="1"/>
    </xf>
    <xf numFmtId="0" fontId="23" fillId="18" borderId="3" xfId="0" applyFont="1" applyFill="1" applyBorder="1" applyAlignment="1">
      <alignment horizontal="center" vertical="center" wrapText="1"/>
    </xf>
    <xf numFmtId="0" fontId="6" fillId="18" borderId="7" xfId="0" applyFont="1" applyFill="1" applyBorder="1" applyAlignment="1">
      <alignment horizontal="center" vertical="center" wrapText="1"/>
    </xf>
    <xf numFmtId="0" fontId="25" fillId="18" borderId="7" xfId="0" applyFont="1" applyFill="1" applyBorder="1" applyAlignment="1">
      <alignment horizontal="center" vertical="center" wrapText="1"/>
    </xf>
    <xf numFmtId="0" fontId="22" fillId="18" borderId="7" xfId="0" applyFont="1" applyFill="1" applyBorder="1" applyAlignment="1">
      <alignment horizontal="center" vertical="center" wrapText="1"/>
    </xf>
    <xf numFmtId="0" fontId="23" fillId="18" borderId="7" xfId="0" applyFont="1" applyFill="1" applyBorder="1" applyAlignment="1">
      <alignment horizontal="center" vertical="center" wrapText="1"/>
    </xf>
    <xf numFmtId="0" fontId="7" fillId="18" borderId="6" xfId="0" applyFont="1" applyFill="1" applyBorder="1" applyAlignment="1">
      <alignment horizontal="center" vertical="center" wrapText="1"/>
    </xf>
    <xf numFmtId="0" fontId="7" fillId="18" borderId="3" xfId="0" applyFont="1" applyFill="1" applyBorder="1" applyAlignment="1">
      <alignment horizontal="center" vertical="center" wrapText="1"/>
    </xf>
    <xf numFmtId="0" fontId="7" fillId="18" borderId="7" xfId="0" applyFont="1" applyFill="1" applyBorder="1" applyAlignment="1">
      <alignment horizontal="center" vertical="center" wrapText="1"/>
    </xf>
    <xf numFmtId="0" fontId="16" fillId="18"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9" fillId="0" borderId="1" xfId="0" applyFont="1" applyFill="1" applyBorder="1" applyAlignment="1">
      <alignment horizontal="center" vertical="center"/>
    </xf>
    <xf numFmtId="0" fontId="10" fillId="0"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3"/>
  <sheetViews>
    <sheetView tabSelected="1" zoomScale="175" zoomScaleNormal="175" workbookViewId="0">
      <pane ySplit="5" topLeftCell="A14" activePane="bottomLeft" state="frozen"/>
      <selection pane="bottomLeft" activeCell="B16" sqref="B16:K20"/>
    </sheetView>
  </sheetViews>
  <sheetFormatPr baseColWidth="10" defaultColWidth="9.140625" defaultRowHeight="15" x14ac:dyDescent="0.25"/>
  <cols>
    <col min="1" max="1" width="5" customWidth="1"/>
    <col min="2" max="2" width="22" customWidth="1"/>
    <col min="3" max="3" width="48" customWidth="1"/>
    <col min="4" max="4" width="18" customWidth="1"/>
    <col min="5" max="5" width="14" customWidth="1"/>
    <col min="6" max="6" width="18" customWidth="1"/>
    <col min="7" max="7" width="20" customWidth="1"/>
    <col min="8" max="8" width="16.42578125" bestFit="1" customWidth="1"/>
    <col min="9" max="9" width="16" customWidth="1"/>
    <col min="10" max="10" width="10.7109375" customWidth="1"/>
    <col min="11" max="11" width="10.42578125" customWidth="1"/>
  </cols>
  <sheetData>
    <row r="1" spans="1:11" ht="14.1" customHeight="1" x14ac:dyDescent="0.25"/>
    <row r="2" spans="1:11" ht="38.1" customHeight="1" x14ac:dyDescent="0.25">
      <c r="A2" s="56" t="s">
        <v>0</v>
      </c>
      <c r="B2" s="54"/>
      <c r="C2" s="54"/>
      <c r="D2" s="54"/>
      <c r="E2" s="54"/>
      <c r="F2" s="54"/>
      <c r="G2" s="54"/>
    </row>
    <row r="3" spans="1:11" ht="18" customHeight="1" x14ac:dyDescent="0.25">
      <c r="A3" s="53" t="s">
        <v>1</v>
      </c>
      <c r="B3" s="54"/>
      <c r="C3" s="54"/>
      <c r="D3" s="54"/>
      <c r="E3" s="54"/>
      <c r="F3" s="54"/>
      <c r="G3" s="54"/>
      <c r="I3" s="50" t="s">
        <v>129</v>
      </c>
      <c r="J3" s="51"/>
      <c r="K3" s="52"/>
    </row>
    <row r="4" spans="1:11" ht="6" customHeight="1" x14ac:dyDescent="0.25">
      <c r="I4" s="20"/>
      <c r="J4" s="20"/>
      <c r="K4" s="20"/>
    </row>
    <row r="5" spans="1:11" ht="27.95" customHeight="1" x14ac:dyDescent="0.25">
      <c r="A5" s="1" t="s">
        <v>2</v>
      </c>
      <c r="B5" s="1" t="s">
        <v>3</v>
      </c>
      <c r="C5" s="1" t="s">
        <v>4</v>
      </c>
      <c r="D5" s="1" t="s">
        <v>5</v>
      </c>
      <c r="E5" s="1" t="s">
        <v>6</v>
      </c>
      <c r="F5" s="1" t="s">
        <v>7</v>
      </c>
      <c r="G5" s="1" t="s">
        <v>8</v>
      </c>
      <c r="H5" s="20" t="s">
        <v>132</v>
      </c>
      <c r="I5" s="20" t="s">
        <v>130</v>
      </c>
      <c r="J5" s="20" t="s">
        <v>131</v>
      </c>
      <c r="K5" s="27" t="s">
        <v>133</v>
      </c>
    </row>
    <row r="6" spans="1:11" ht="44.1" customHeight="1" x14ac:dyDescent="0.25">
      <c r="A6" s="2">
        <v>1</v>
      </c>
      <c r="B6" s="60" t="s">
        <v>9</v>
      </c>
      <c r="C6" s="29" t="s">
        <v>10</v>
      </c>
      <c r="D6" s="30" t="s">
        <v>11</v>
      </c>
      <c r="E6" s="31" t="s">
        <v>12</v>
      </c>
      <c r="F6" s="32" t="s">
        <v>13</v>
      </c>
      <c r="G6" s="33" t="s">
        <v>14</v>
      </c>
      <c r="H6" s="61">
        <v>4</v>
      </c>
      <c r="I6" s="62">
        <v>0.3</v>
      </c>
      <c r="J6" s="63">
        <f>I6*30</f>
        <v>9</v>
      </c>
      <c r="K6" s="64">
        <f>J6*12</f>
        <v>108</v>
      </c>
    </row>
    <row r="7" spans="1:11" ht="44.1" customHeight="1" x14ac:dyDescent="0.25">
      <c r="A7" s="8">
        <v>2</v>
      </c>
      <c r="B7" s="60" t="s">
        <v>9</v>
      </c>
      <c r="C7" s="29" t="s">
        <v>15</v>
      </c>
      <c r="D7" s="30" t="s">
        <v>11</v>
      </c>
      <c r="E7" s="31" t="s">
        <v>12</v>
      </c>
      <c r="F7" s="32" t="s">
        <v>13</v>
      </c>
      <c r="G7" s="33" t="s">
        <v>16</v>
      </c>
      <c r="H7" s="65"/>
      <c r="I7" s="66"/>
      <c r="J7" s="67"/>
      <c r="K7" s="68"/>
    </row>
    <row r="8" spans="1:11" ht="44.1" customHeight="1" x14ac:dyDescent="0.25">
      <c r="A8" s="2">
        <v>3</v>
      </c>
      <c r="B8" s="60" t="s">
        <v>9</v>
      </c>
      <c r="C8" s="29" t="s">
        <v>17</v>
      </c>
      <c r="D8" s="30" t="s">
        <v>11</v>
      </c>
      <c r="E8" s="31" t="s">
        <v>12</v>
      </c>
      <c r="F8" s="32" t="s">
        <v>13</v>
      </c>
      <c r="G8" s="33" t="s">
        <v>18</v>
      </c>
      <c r="H8" s="65"/>
      <c r="I8" s="66"/>
      <c r="J8" s="67"/>
      <c r="K8" s="68"/>
    </row>
    <row r="9" spans="1:11" ht="44.1" customHeight="1" x14ac:dyDescent="0.25">
      <c r="A9" s="8">
        <v>4</v>
      </c>
      <c r="B9" s="60" t="s">
        <v>9</v>
      </c>
      <c r="C9" s="29" t="s">
        <v>19</v>
      </c>
      <c r="D9" s="30" t="s">
        <v>11</v>
      </c>
      <c r="E9" s="31" t="s">
        <v>12</v>
      </c>
      <c r="F9" s="32" t="s">
        <v>13</v>
      </c>
      <c r="G9" s="33" t="s">
        <v>20</v>
      </c>
      <c r="H9" s="65"/>
      <c r="I9" s="66"/>
      <c r="J9" s="67"/>
      <c r="K9" s="68"/>
    </row>
    <row r="10" spans="1:11" ht="44.1" customHeight="1" x14ac:dyDescent="0.25">
      <c r="A10" s="2">
        <v>5</v>
      </c>
      <c r="B10" s="77" t="s">
        <v>9</v>
      </c>
      <c r="C10" s="78" t="s">
        <v>21</v>
      </c>
      <c r="D10" s="79" t="s">
        <v>11</v>
      </c>
      <c r="E10" s="80" t="s">
        <v>22</v>
      </c>
      <c r="F10" s="81" t="s">
        <v>13</v>
      </c>
      <c r="G10" s="82" t="s">
        <v>23</v>
      </c>
      <c r="H10" s="69"/>
      <c r="I10" s="70"/>
      <c r="J10" s="71"/>
      <c r="K10" s="72"/>
    </row>
    <row r="11" spans="1:11" ht="44.1" customHeight="1" x14ac:dyDescent="0.25">
      <c r="A11" s="8">
        <v>6</v>
      </c>
      <c r="B11" s="60" t="s">
        <v>9</v>
      </c>
      <c r="C11" s="29" t="s">
        <v>24</v>
      </c>
      <c r="D11" s="30" t="s">
        <v>25</v>
      </c>
      <c r="E11" s="37" t="s">
        <v>22</v>
      </c>
      <c r="F11" s="32" t="s">
        <v>13</v>
      </c>
      <c r="G11" s="33" t="s">
        <v>26</v>
      </c>
      <c r="H11" s="61">
        <v>2</v>
      </c>
      <c r="I11" s="73">
        <v>0.2</v>
      </c>
      <c r="J11" s="63">
        <f>I11*30</f>
        <v>6</v>
      </c>
      <c r="K11" s="64">
        <f>J11*12</f>
        <v>72</v>
      </c>
    </row>
    <row r="12" spans="1:11" ht="44.1" customHeight="1" x14ac:dyDescent="0.25">
      <c r="A12" s="2">
        <v>7</v>
      </c>
      <c r="B12" s="60" t="s">
        <v>9</v>
      </c>
      <c r="C12" s="29" t="s">
        <v>27</v>
      </c>
      <c r="D12" s="30" t="s">
        <v>28</v>
      </c>
      <c r="E12" s="37" t="s">
        <v>22</v>
      </c>
      <c r="F12" s="32" t="s">
        <v>13</v>
      </c>
      <c r="G12" s="33" t="s">
        <v>29</v>
      </c>
      <c r="H12" s="65"/>
      <c r="I12" s="74"/>
      <c r="J12" s="67"/>
      <c r="K12" s="68"/>
    </row>
    <row r="13" spans="1:11" ht="44.1" customHeight="1" x14ac:dyDescent="0.25">
      <c r="A13" s="8">
        <v>8</v>
      </c>
      <c r="B13" s="60" t="s">
        <v>9</v>
      </c>
      <c r="C13" s="29" t="s">
        <v>30</v>
      </c>
      <c r="D13" s="30" t="s">
        <v>31</v>
      </c>
      <c r="E13" s="37" t="s">
        <v>22</v>
      </c>
      <c r="F13" s="32" t="s">
        <v>13</v>
      </c>
      <c r="G13" s="33" t="s">
        <v>32</v>
      </c>
      <c r="H13" s="69"/>
      <c r="I13" s="75"/>
      <c r="J13" s="71"/>
      <c r="K13" s="72"/>
    </row>
    <row r="14" spans="1:11" ht="44.1" customHeight="1" x14ac:dyDescent="0.25">
      <c r="A14" s="2">
        <v>9</v>
      </c>
      <c r="B14" s="60" t="s">
        <v>9</v>
      </c>
      <c r="C14" s="29" t="s">
        <v>33</v>
      </c>
      <c r="D14" s="30" t="s">
        <v>34</v>
      </c>
      <c r="E14" s="31" t="s">
        <v>12</v>
      </c>
      <c r="F14" s="32" t="s">
        <v>13</v>
      </c>
      <c r="G14" s="33" t="s">
        <v>35</v>
      </c>
      <c r="H14" s="34">
        <v>1</v>
      </c>
      <c r="I14" s="30">
        <v>0.2</v>
      </c>
      <c r="J14" s="35">
        <f>I14*30</f>
        <v>6</v>
      </c>
      <c r="K14" s="36">
        <f>J14*12</f>
        <v>72</v>
      </c>
    </row>
    <row r="15" spans="1:11" ht="44.1" customHeight="1" x14ac:dyDescent="0.25">
      <c r="A15" s="8">
        <v>10</v>
      </c>
      <c r="B15" s="13" t="s">
        <v>36</v>
      </c>
      <c r="C15" s="9" t="s">
        <v>37</v>
      </c>
      <c r="D15" s="10" t="s">
        <v>38</v>
      </c>
      <c r="E15" s="12" t="s">
        <v>22</v>
      </c>
      <c r="F15" s="6" t="s">
        <v>13</v>
      </c>
      <c r="G15" s="11" t="s">
        <v>39</v>
      </c>
      <c r="H15" s="21">
        <v>2</v>
      </c>
      <c r="I15" s="4">
        <v>0.2</v>
      </c>
      <c r="J15" s="24">
        <f t="shared" ref="J15:J43" si="0">I15*30</f>
        <v>6</v>
      </c>
      <c r="K15" s="26">
        <f t="shared" ref="K15:K43" si="1">J15*12</f>
        <v>72</v>
      </c>
    </row>
    <row r="16" spans="1:11" ht="44.1" customHeight="1" x14ac:dyDescent="0.25">
      <c r="A16" s="2">
        <v>11</v>
      </c>
      <c r="B16" s="49" t="s">
        <v>40</v>
      </c>
      <c r="C16" s="40" t="s">
        <v>41</v>
      </c>
      <c r="D16" s="41" t="s">
        <v>42</v>
      </c>
      <c r="E16" s="42" t="s">
        <v>12</v>
      </c>
      <c r="F16" s="43" t="s">
        <v>13</v>
      </c>
      <c r="G16" s="44" t="s">
        <v>43</v>
      </c>
      <c r="H16" s="46">
        <v>6</v>
      </c>
      <c r="I16" s="41">
        <v>2</v>
      </c>
      <c r="J16" s="47">
        <f t="shared" si="0"/>
        <v>60</v>
      </c>
      <c r="K16" s="48">
        <f t="shared" si="1"/>
        <v>720</v>
      </c>
    </row>
    <row r="17" spans="1:11" ht="44.1" customHeight="1" x14ac:dyDescent="0.25">
      <c r="A17" s="8">
        <v>12</v>
      </c>
      <c r="B17" s="49" t="s">
        <v>40</v>
      </c>
      <c r="C17" s="40" t="s">
        <v>44</v>
      </c>
      <c r="D17" s="41" t="s">
        <v>45</v>
      </c>
      <c r="E17" s="42" t="s">
        <v>12</v>
      </c>
      <c r="F17" s="43" t="s">
        <v>13</v>
      </c>
      <c r="G17" s="44" t="s">
        <v>46</v>
      </c>
      <c r="H17" s="46">
        <v>3</v>
      </c>
      <c r="I17" s="41">
        <v>1</v>
      </c>
      <c r="J17" s="47">
        <f t="shared" si="0"/>
        <v>30</v>
      </c>
      <c r="K17" s="48">
        <f t="shared" si="1"/>
        <v>360</v>
      </c>
    </row>
    <row r="18" spans="1:11" ht="44.1" customHeight="1" x14ac:dyDescent="0.25">
      <c r="A18" s="2">
        <v>13</v>
      </c>
      <c r="B18" s="49" t="s">
        <v>40</v>
      </c>
      <c r="C18" s="40" t="s">
        <v>47</v>
      </c>
      <c r="D18" s="41" t="s">
        <v>48</v>
      </c>
      <c r="E18" s="45" t="s">
        <v>22</v>
      </c>
      <c r="F18" s="43" t="s">
        <v>13</v>
      </c>
      <c r="G18" s="44" t="s">
        <v>49</v>
      </c>
      <c r="H18" s="46">
        <v>4</v>
      </c>
      <c r="I18" s="41">
        <v>2</v>
      </c>
      <c r="J18" s="47">
        <f t="shared" si="0"/>
        <v>60</v>
      </c>
      <c r="K18" s="48">
        <f t="shared" si="1"/>
        <v>720</v>
      </c>
    </row>
    <row r="19" spans="1:11" ht="44.1" customHeight="1" x14ac:dyDescent="0.25">
      <c r="A19" s="8">
        <v>14</v>
      </c>
      <c r="B19" s="49" t="s">
        <v>40</v>
      </c>
      <c r="C19" s="40" t="s">
        <v>50</v>
      </c>
      <c r="D19" s="41" t="s">
        <v>51</v>
      </c>
      <c r="E19" s="45" t="s">
        <v>22</v>
      </c>
      <c r="F19" s="43" t="s">
        <v>13</v>
      </c>
      <c r="G19" s="44" t="s">
        <v>52</v>
      </c>
      <c r="H19" s="46">
        <v>5</v>
      </c>
      <c r="I19" s="41">
        <v>1</v>
      </c>
      <c r="J19" s="47">
        <f t="shared" si="0"/>
        <v>30</v>
      </c>
      <c r="K19" s="48">
        <f t="shared" si="1"/>
        <v>360</v>
      </c>
    </row>
    <row r="20" spans="1:11" ht="44.1" customHeight="1" x14ac:dyDescent="0.25">
      <c r="A20" s="2">
        <v>15</v>
      </c>
      <c r="B20" s="49" t="s">
        <v>40</v>
      </c>
      <c r="C20" s="40" t="s">
        <v>53</v>
      </c>
      <c r="D20" s="41" t="s">
        <v>54</v>
      </c>
      <c r="E20" s="45" t="s">
        <v>22</v>
      </c>
      <c r="F20" s="43" t="s">
        <v>13</v>
      </c>
      <c r="G20" s="44" t="s">
        <v>55</v>
      </c>
      <c r="H20" s="46">
        <v>3</v>
      </c>
      <c r="I20" s="41">
        <v>1</v>
      </c>
      <c r="J20" s="47">
        <f t="shared" si="0"/>
        <v>30</v>
      </c>
      <c r="K20" s="48">
        <f t="shared" si="1"/>
        <v>360</v>
      </c>
    </row>
    <row r="21" spans="1:11" ht="44.1" customHeight="1" x14ac:dyDescent="0.25">
      <c r="A21" s="8">
        <v>16</v>
      </c>
      <c r="B21" s="14" t="s">
        <v>56</v>
      </c>
      <c r="C21" s="9" t="s">
        <v>57</v>
      </c>
      <c r="D21" s="10" t="s">
        <v>58</v>
      </c>
      <c r="E21" s="12" t="s">
        <v>22</v>
      </c>
      <c r="F21" s="6" t="s">
        <v>13</v>
      </c>
      <c r="G21" s="11" t="s">
        <v>59</v>
      </c>
      <c r="H21" s="21">
        <v>1</v>
      </c>
      <c r="I21" s="4">
        <v>0.5</v>
      </c>
      <c r="J21" s="24">
        <f t="shared" si="0"/>
        <v>15</v>
      </c>
      <c r="K21" s="26">
        <f t="shared" si="1"/>
        <v>180</v>
      </c>
    </row>
    <row r="22" spans="1:11" ht="44.1" customHeight="1" x14ac:dyDescent="0.25">
      <c r="A22" s="2">
        <v>17</v>
      </c>
      <c r="B22" s="39" t="s">
        <v>56</v>
      </c>
      <c r="C22" s="29" t="s">
        <v>134</v>
      </c>
      <c r="D22" s="30" t="s">
        <v>60</v>
      </c>
      <c r="E22" s="37" t="s">
        <v>22</v>
      </c>
      <c r="F22" s="32" t="s">
        <v>13</v>
      </c>
      <c r="G22" s="33" t="s">
        <v>61</v>
      </c>
      <c r="H22" s="34">
        <v>1</v>
      </c>
      <c r="I22" s="30">
        <v>0.2</v>
      </c>
      <c r="J22" s="35">
        <f t="shared" si="0"/>
        <v>6</v>
      </c>
      <c r="K22" s="36">
        <f t="shared" si="1"/>
        <v>72</v>
      </c>
    </row>
    <row r="23" spans="1:11" ht="44.1" customHeight="1" x14ac:dyDescent="0.25">
      <c r="A23" s="8">
        <v>18</v>
      </c>
      <c r="B23" s="39" t="s">
        <v>56</v>
      </c>
      <c r="C23" s="29" t="s">
        <v>62</v>
      </c>
      <c r="D23" s="30" t="s">
        <v>63</v>
      </c>
      <c r="E23" s="31" t="s">
        <v>12</v>
      </c>
      <c r="F23" s="32" t="s">
        <v>13</v>
      </c>
      <c r="G23" s="33" t="s">
        <v>64</v>
      </c>
      <c r="H23" s="34">
        <v>3</v>
      </c>
      <c r="I23" s="30">
        <v>0.5</v>
      </c>
      <c r="J23" s="35">
        <f t="shared" si="0"/>
        <v>15</v>
      </c>
      <c r="K23" s="36">
        <f t="shared" si="1"/>
        <v>180</v>
      </c>
    </row>
    <row r="24" spans="1:11" ht="44.1" customHeight="1" x14ac:dyDescent="0.25">
      <c r="A24" s="2">
        <v>19</v>
      </c>
      <c r="B24" s="39" t="s">
        <v>56</v>
      </c>
      <c r="C24" s="29" t="s">
        <v>65</v>
      </c>
      <c r="D24" s="30" t="s">
        <v>66</v>
      </c>
      <c r="E24" s="37" t="s">
        <v>22</v>
      </c>
      <c r="F24" s="32" t="s">
        <v>13</v>
      </c>
      <c r="G24" s="33" t="s">
        <v>67</v>
      </c>
      <c r="H24" s="34">
        <v>1</v>
      </c>
      <c r="I24" s="30">
        <v>0.5</v>
      </c>
      <c r="J24" s="35">
        <f t="shared" si="0"/>
        <v>15</v>
      </c>
      <c r="K24" s="36">
        <f t="shared" si="1"/>
        <v>180</v>
      </c>
    </row>
    <row r="25" spans="1:11" ht="44.1" customHeight="1" x14ac:dyDescent="0.25">
      <c r="A25" s="8">
        <v>20</v>
      </c>
      <c r="B25" s="15" t="s">
        <v>68</v>
      </c>
      <c r="C25" s="9" t="s">
        <v>69</v>
      </c>
      <c r="D25" s="10" t="s">
        <v>70</v>
      </c>
      <c r="E25" s="5" t="s">
        <v>12</v>
      </c>
      <c r="F25" s="6" t="s">
        <v>13</v>
      </c>
      <c r="G25" s="11" t="s">
        <v>71</v>
      </c>
      <c r="H25" s="21">
        <v>1</v>
      </c>
      <c r="I25" s="4">
        <v>0.5</v>
      </c>
      <c r="J25" s="24">
        <f t="shared" si="0"/>
        <v>15</v>
      </c>
      <c r="K25" s="26">
        <f t="shared" si="1"/>
        <v>180</v>
      </c>
    </row>
    <row r="26" spans="1:11" ht="44.1" customHeight="1" x14ac:dyDescent="0.25">
      <c r="A26" s="2">
        <v>21</v>
      </c>
      <c r="B26" s="15" t="s">
        <v>68</v>
      </c>
      <c r="C26" s="3" t="s">
        <v>72</v>
      </c>
      <c r="D26" s="4" t="s">
        <v>73</v>
      </c>
      <c r="E26" s="5" t="s">
        <v>12</v>
      </c>
      <c r="F26" s="6" t="s">
        <v>13</v>
      </c>
      <c r="G26" s="7" t="s">
        <v>74</v>
      </c>
      <c r="H26" s="21">
        <v>1</v>
      </c>
      <c r="I26" s="4">
        <v>1.5</v>
      </c>
      <c r="J26" s="24">
        <f t="shared" si="0"/>
        <v>45</v>
      </c>
      <c r="K26" s="26">
        <f t="shared" si="1"/>
        <v>540</v>
      </c>
    </row>
    <row r="27" spans="1:11" ht="44.1" customHeight="1" x14ac:dyDescent="0.25">
      <c r="A27" s="8">
        <v>22</v>
      </c>
      <c r="B27" s="15" t="s">
        <v>68</v>
      </c>
      <c r="C27" s="9" t="s">
        <v>75</v>
      </c>
      <c r="D27" s="10" t="s">
        <v>73</v>
      </c>
      <c r="E27" s="5" t="s">
        <v>12</v>
      </c>
      <c r="F27" s="6" t="s">
        <v>13</v>
      </c>
      <c r="G27" s="11" t="s">
        <v>76</v>
      </c>
      <c r="H27" s="22">
        <v>3</v>
      </c>
      <c r="I27" s="10">
        <v>1</v>
      </c>
      <c r="J27" s="23">
        <f t="shared" si="0"/>
        <v>30</v>
      </c>
      <c r="K27" s="25">
        <f t="shared" si="1"/>
        <v>360</v>
      </c>
    </row>
    <row r="28" spans="1:11" ht="44.1" customHeight="1" x14ac:dyDescent="0.25">
      <c r="A28" s="8">
        <v>24</v>
      </c>
      <c r="B28" s="16" t="s">
        <v>77</v>
      </c>
      <c r="C28" s="9" t="s">
        <v>78</v>
      </c>
      <c r="D28" s="10" t="s">
        <v>79</v>
      </c>
      <c r="E28" s="12" t="s">
        <v>22</v>
      </c>
      <c r="F28" s="6" t="s">
        <v>13</v>
      </c>
      <c r="G28" s="11" t="s">
        <v>80</v>
      </c>
      <c r="H28" s="21">
        <v>0.5</v>
      </c>
      <c r="I28" s="4"/>
      <c r="J28" s="24"/>
      <c r="K28" s="26"/>
    </row>
    <row r="29" spans="1:11" ht="44.1" customHeight="1" x14ac:dyDescent="0.25">
      <c r="A29" s="2">
        <v>25</v>
      </c>
      <c r="B29" s="16" t="s">
        <v>77</v>
      </c>
      <c r="C29" s="3" t="s">
        <v>81</v>
      </c>
      <c r="D29" s="4" t="s">
        <v>31</v>
      </c>
      <c r="E29" s="12" t="s">
        <v>22</v>
      </c>
      <c r="F29" s="6" t="s">
        <v>13</v>
      </c>
      <c r="G29" s="7" t="s">
        <v>82</v>
      </c>
      <c r="H29" s="22">
        <v>2</v>
      </c>
      <c r="I29" s="10"/>
      <c r="J29" s="23"/>
      <c r="K29" s="25"/>
    </row>
    <row r="30" spans="1:11" ht="44.1" customHeight="1" x14ac:dyDescent="0.25">
      <c r="A30" s="8">
        <v>26</v>
      </c>
      <c r="B30" s="16" t="s">
        <v>77</v>
      </c>
      <c r="C30" s="9" t="s">
        <v>83</v>
      </c>
      <c r="D30" s="10" t="s">
        <v>84</v>
      </c>
      <c r="E30" s="17" t="s">
        <v>85</v>
      </c>
      <c r="F30" s="6" t="s">
        <v>13</v>
      </c>
      <c r="G30" s="11" t="s">
        <v>86</v>
      </c>
      <c r="H30" s="21">
        <v>0.5</v>
      </c>
      <c r="I30" s="4"/>
      <c r="J30" s="24"/>
      <c r="K30" s="26"/>
    </row>
    <row r="31" spans="1:11" ht="44.1" customHeight="1" x14ac:dyDescent="0.25">
      <c r="A31" s="2">
        <v>27</v>
      </c>
      <c r="B31" s="16" t="s">
        <v>77</v>
      </c>
      <c r="C31" s="3" t="s">
        <v>87</v>
      </c>
      <c r="D31" s="4" t="s">
        <v>84</v>
      </c>
      <c r="E31" s="17" t="s">
        <v>85</v>
      </c>
      <c r="F31" s="6" t="s">
        <v>13</v>
      </c>
      <c r="G31" s="7" t="s">
        <v>88</v>
      </c>
      <c r="H31" s="21">
        <v>0.5</v>
      </c>
      <c r="I31" s="4"/>
      <c r="J31" s="24"/>
      <c r="K31" s="26"/>
    </row>
    <row r="32" spans="1:11" ht="44.1" customHeight="1" x14ac:dyDescent="0.25">
      <c r="A32" s="8">
        <v>28</v>
      </c>
      <c r="B32" s="76" t="s">
        <v>77</v>
      </c>
      <c r="C32" s="29" t="s">
        <v>89</v>
      </c>
      <c r="D32" s="30" t="s">
        <v>90</v>
      </c>
      <c r="E32" s="37" t="s">
        <v>22</v>
      </c>
      <c r="F32" s="32" t="s">
        <v>13</v>
      </c>
      <c r="G32" s="33" t="s">
        <v>91</v>
      </c>
      <c r="H32" s="34">
        <v>2</v>
      </c>
      <c r="I32" s="10"/>
      <c r="J32" s="23"/>
      <c r="K32" s="25"/>
    </row>
    <row r="33" spans="1:11" ht="44.1" customHeight="1" x14ac:dyDescent="0.25">
      <c r="A33" s="2">
        <v>29</v>
      </c>
      <c r="B33" s="16" t="s">
        <v>77</v>
      </c>
      <c r="C33" s="3" t="s">
        <v>92</v>
      </c>
      <c r="D33" s="4" t="s">
        <v>93</v>
      </c>
      <c r="E33" s="12" t="s">
        <v>22</v>
      </c>
      <c r="F33" s="6" t="s">
        <v>13</v>
      </c>
      <c r="G33" s="7" t="s">
        <v>94</v>
      </c>
      <c r="H33" s="21">
        <v>2</v>
      </c>
      <c r="I33" s="4"/>
      <c r="J33" s="24"/>
      <c r="K33" s="26"/>
    </row>
    <row r="34" spans="1:11" ht="44.1" customHeight="1" x14ac:dyDescent="0.25">
      <c r="A34" s="8">
        <v>30</v>
      </c>
      <c r="B34" s="16" t="s">
        <v>77</v>
      </c>
      <c r="C34" s="9" t="s">
        <v>95</v>
      </c>
      <c r="D34" s="10" t="s">
        <v>96</v>
      </c>
      <c r="E34" s="17" t="s">
        <v>85</v>
      </c>
      <c r="F34" s="6" t="s">
        <v>13</v>
      </c>
      <c r="G34" s="11" t="s">
        <v>97</v>
      </c>
      <c r="H34" s="22">
        <v>1</v>
      </c>
      <c r="I34" s="10"/>
      <c r="J34" s="23"/>
      <c r="K34" s="25"/>
    </row>
    <row r="35" spans="1:11" ht="44.1" customHeight="1" x14ac:dyDescent="0.25">
      <c r="A35" s="2">
        <v>31</v>
      </c>
      <c r="B35" s="18" t="s">
        <v>98</v>
      </c>
      <c r="C35" s="3" t="s">
        <v>99</v>
      </c>
      <c r="D35" s="4" t="s">
        <v>100</v>
      </c>
      <c r="E35" s="5" t="s">
        <v>12</v>
      </c>
      <c r="F35" s="6" t="s">
        <v>13</v>
      </c>
      <c r="G35" s="7" t="s">
        <v>101</v>
      </c>
      <c r="H35" s="21">
        <v>6</v>
      </c>
      <c r="I35" s="4">
        <v>1.5</v>
      </c>
      <c r="J35" s="24">
        <f t="shared" si="0"/>
        <v>45</v>
      </c>
      <c r="K35" s="26">
        <f t="shared" si="1"/>
        <v>540</v>
      </c>
    </row>
    <row r="36" spans="1:11" ht="44.1" customHeight="1" x14ac:dyDescent="0.25">
      <c r="A36" s="8">
        <v>32</v>
      </c>
      <c r="B36" s="18" t="s">
        <v>98</v>
      </c>
      <c r="C36" s="9" t="s">
        <v>102</v>
      </c>
      <c r="D36" s="10" t="s">
        <v>103</v>
      </c>
      <c r="E36" s="12" t="s">
        <v>22</v>
      </c>
      <c r="F36" s="6" t="s">
        <v>13</v>
      </c>
      <c r="G36" s="11" t="s">
        <v>104</v>
      </c>
      <c r="H36" s="21">
        <v>1</v>
      </c>
      <c r="I36" s="4">
        <v>2</v>
      </c>
      <c r="J36" s="24">
        <f t="shared" si="0"/>
        <v>60</v>
      </c>
      <c r="K36" s="26">
        <f t="shared" si="1"/>
        <v>720</v>
      </c>
    </row>
    <row r="37" spans="1:11" ht="44.1" customHeight="1" x14ac:dyDescent="0.25">
      <c r="A37" s="2">
        <v>33</v>
      </c>
      <c r="B37" s="28" t="s">
        <v>98</v>
      </c>
      <c r="C37" s="29" t="s">
        <v>105</v>
      </c>
      <c r="D37" s="30" t="s">
        <v>103</v>
      </c>
      <c r="E37" s="31" t="s">
        <v>12</v>
      </c>
      <c r="F37" s="32" t="s">
        <v>13</v>
      </c>
      <c r="G37" s="33" t="s">
        <v>106</v>
      </c>
      <c r="H37" s="34">
        <v>5</v>
      </c>
      <c r="I37" s="30"/>
      <c r="J37" s="35"/>
      <c r="K37" s="36"/>
    </row>
    <row r="38" spans="1:11" ht="44.1" customHeight="1" x14ac:dyDescent="0.25">
      <c r="A38" s="8">
        <v>34</v>
      </c>
      <c r="B38" s="18" t="s">
        <v>98</v>
      </c>
      <c r="C38" s="9" t="s">
        <v>107</v>
      </c>
      <c r="D38" s="10" t="s">
        <v>103</v>
      </c>
      <c r="E38" s="12" t="s">
        <v>22</v>
      </c>
      <c r="F38" s="6" t="s">
        <v>13</v>
      </c>
      <c r="G38" s="11" t="s">
        <v>108</v>
      </c>
      <c r="H38" s="21">
        <v>1</v>
      </c>
      <c r="I38" s="4">
        <v>2</v>
      </c>
      <c r="J38" s="24">
        <f t="shared" si="0"/>
        <v>60</v>
      </c>
      <c r="K38" s="26">
        <f t="shared" si="1"/>
        <v>720</v>
      </c>
    </row>
    <row r="39" spans="1:11" ht="44.1" customHeight="1" x14ac:dyDescent="0.25">
      <c r="A39" s="2">
        <v>35</v>
      </c>
      <c r="B39" s="28" t="s">
        <v>98</v>
      </c>
      <c r="C39" s="29" t="s">
        <v>109</v>
      </c>
      <c r="D39" s="30" t="s">
        <v>103</v>
      </c>
      <c r="E39" s="37" t="s">
        <v>22</v>
      </c>
      <c r="F39" s="32" t="s">
        <v>13</v>
      </c>
      <c r="G39" s="33" t="s">
        <v>110</v>
      </c>
      <c r="H39" s="34">
        <v>1</v>
      </c>
      <c r="I39" s="30">
        <v>1</v>
      </c>
      <c r="J39" s="35">
        <f t="shared" si="0"/>
        <v>30</v>
      </c>
      <c r="K39" s="36">
        <f t="shared" si="1"/>
        <v>360</v>
      </c>
    </row>
    <row r="40" spans="1:11" ht="44.1" customHeight="1" x14ac:dyDescent="0.25">
      <c r="A40" s="8">
        <v>36</v>
      </c>
      <c r="B40" s="18" t="s">
        <v>98</v>
      </c>
      <c r="C40" s="9" t="s">
        <v>111</v>
      </c>
      <c r="D40" s="10" t="s">
        <v>103</v>
      </c>
      <c r="E40" s="12" t="s">
        <v>22</v>
      </c>
      <c r="F40" s="6" t="s">
        <v>13</v>
      </c>
      <c r="G40" s="11" t="s">
        <v>112</v>
      </c>
      <c r="H40" s="21">
        <v>4</v>
      </c>
      <c r="I40" s="4">
        <v>1</v>
      </c>
      <c r="J40" s="24">
        <f t="shared" si="0"/>
        <v>30</v>
      </c>
      <c r="K40" s="26">
        <f t="shared" si="1"/>
        <v>360</v>
      </c>
    </row>
    <row r="41" spans="1:11" ht="44.1" customHeight="1" x14ac:dyDescent="0.25">
      <c r="A41" s="2">
        <v>37</v>
      </c>
      <c r="B41" s="38" t="s">
        <v>113</v>
      </c>
      <c r="C41" s="29" t="s">
        <v>114</v>
      </c>
      <c r="D41" s="30" t="s">
        <v>115</v>
      </c>
      <c r="E41" s="37" t="s">
        <v>22</v>
      </c>
      <c r="F41" s="32" t="s">
        <v>13</v>
      </c>
      <c r="G41" s="33" t="s">
        <v>116</v>
      </c>
      <c r="H41" s="34">
        <v>3</v>
      </c>
      <c r="I41" s="30">
        <v>1.5</v>
      </c>
      <c r="J41" s="35">
        <f t="shared" si="0"/>
        <v>45</v>
      </c>
      <c r="K41" s="36">
        <f t="shared" si="1"/>
        <v>540</v>
      </c>
    </row>
    <row r="42" spans="1:11" ht="44.1" customHeight="1" x14ac:dyDescent="0.25">
      <c r="A42" s="8">
        <v>38</v>
      </c>
      <c r="B42" s="38" t="s">
        <v>113</v>
      </c>
      <c r="C42" s="29" t="s">
        <v>117</v>
      </c>
      <c r="D42" s="30" t="s">
        <v>115</v>
      </c>
      <c r="E42" s="37" t="s">
        <v>22</v>
      </c>
      <c r="F42" s="32" t="s">
        <v>13</v>
      </c>
      <c r="G42" s="33" t="s">
        <v>118</v>
      </c>
      <c r="H42" s="34">
        <v>3</v>
      </c>
      <c r="I42" s="30">
        <v>1.5</v>
      </c>
      <c r="J42" s="35">
        <f t="shared" si="0"/>
        <v>45</v>
      </c>
      <c r="K42" s="36">
        <f t="shared" si="1"/>
        <v>540</v>
      </c>
    </row>
    <row r="43" spans="1:11" ht="44.1" customHeight="1" x14ac:dyDescent="0.25">
      <c r="A43" s="2">
        <v>39</v>
      </c>
      <c r="B43" s="19" t="s">
        <v>113</v>
      </c>
      <c r="C43" s="3" t="s">
        <v>119</v>
      </c>
      <c r="D43" s="4" t="s">
        <v>63</v>
      </c>
      <c r="E43" s="12" t="s">
        <v>22</v>
      </c>
      <c r="F43" s="6" t="s">
        <v>13</v>
      </c>
      <c r="G43" s="7" t="s">
        <v>120</v>
      </c>
      <c r="H43" s="21">
        <v>4</v>
      </c>
      <c r="I43" s="4">
        <v>2</v>
      </c>
      <c r="J43" s="24">
        <f t="shared" si="0"/>
        <v>60</v>
      </c>
      <c r="K43" s="26">
        <f t="shared" si="1"/>
        <v>720</v>
      </c>
    </row>
    <row r="45" spans="1:11" ht="27.95" customHeight="1" x14ac:dyDescent="0.25">
      <c r="A45" s="59" t="s">
        <v>121</v>
      </c>
      <c r="B45" s="54"/>
      <c r="C45" s="54"/>
      <c r="D45" s="54"/>
      <c r="E45" s="54"/>
      <c r="F45" s="54"/>
      <c r="G45" s="54"/>
      <c r="H45" s="3"/>
      <c r="I45" s="4"/>
      <c r="J45" s="3"/>
      <c r="K45" s="4"/>
    </row>
    <row r="46" spans="1:11" ht="24" customHeight="1" x14ac:dyDescent="0.25">
      <c r="A46" s="58" t="s">
        <v>122</v>
      </c>
      <c r="B46" s="54"/>
      <c r="C46" s="54"/>
      <c r="D46" s="54"/>
      <c r="E46" s="54"/>
      <c r="F46" s="54"/>
      <c r="G46" s="54"/>
    </row>
    <row r="47" spans="1:11" ht="72" customHeight="1" x14ac:dyDescent="0.25">
      <c r="A47" s="55" t="s">
        <v>123</v>
      </c>
      <c r="B47" s="54"/>
      <c r="C47" s="54"/>
      <c r="D47" s="54"/>
      <c r="E47" s="54"/>
      <c r="F47" s="54"/>
      <c r="G47" s="54"/>
    </row>
    <row r="48" spans="1:11" ht="24" customHeight="1" x14ac:dyDescent="0.25">
      <c r="A48" s="58" t="s">
        <v>124</v>
      </c>
      <c r="B48" s="54"/>
      <c r="C48" s="54"/>
      <c r="D48" s="54"/>
      <c r="E48" s="54"/>
      <c r="F48" s="54"/>
      <c r="G48" s="54"/>
    </row>
    <row r="49" spans="1:7" ht="72" customHeight="1" x14ac:dyDescent="0.25">
      <c r="A49" s="55" t="s">
        <v>125</v>
      </c>
      <c r="B49" s="54"/>
      <c r="C49" s="54"/>
      <c r="D49" s="54"/>
      <c r="E49" s="54"/>
      <c r="F49" s="54"/>
      <c r="G49" s="54"/>
    </row>
    <row r="50" spans="1:7" ht="24" customHeight="1" x14ac:dyDescent="0.25">
      <c r="A50" s="58" t="s">
        <v>126</v>
      </c>
      <c r="B50" s="54"/>
      <c r="C50" s="54"/>
      <c r="D50" s="54"/>
      <c r="E50" s="54"/>
      <c r="F50" s="54"/>
      <c r="G50" s="54"/>
    </row>
    <row r="51" spans="1:7" ht="72" customHeight="1" x14ac:dyDescent="0.25">
      <c r="A51" s="55" t="s">
        <v>128</v>
      </c>
      <c r="B51" s="54"/>
      <c r="C51" s="54"/>
      <c r="D51" s="54"/>
      <c r="E51" s="54"/>
      <c r="F51" s="54"/>
      <c r="G51" s="54"/>
    </row>
    <row r="53" spans="1:7" ht="20.100000000000001" customHeight="1" x14ac:dyDescent="0.25">
      <c r="A53" s="57" t="s">
        <v>127</v>
      </c>
      <c r="B53" s="54"/>
      <c r="C53" s="54"/>
      <c r="D53" s="54"/>
      <c r="E53" s="54"/>
      <c r="F53" s="54"/>
      <c r="G53" s="54"/>
    </row>
  </sheetData>
  <autoFilter ref="A5:G43" xr:uid="{00000000-0009-0000-0000-000000000000}"/>
  <mergeCells count="19">
    <mergeCell ref="A3:G3"/>
    <mergeCell ref="A49:G49"/>
    <mergeCell ref="A47:G47"/>
    <mergeCell ref="A2:G2"/>
    <mergeCell ref="A53:G53"/>
    <mergeCell ref="A51:G51"/>
    <mergeCell ref="A48:G48"/>
    <mergeCell ref="A46:G46"/>
    <mergeCell ref="A45:G45"/>
    <mergeCell ref="A50:G50"/>
    <mergeCell ref="I3:K3"/>
    <mergeCell ref="H6:H10"/>
    <mergeCell ref="H11:H13"/>
    <mergeCell ref="I11:I13"/>
    <mergeCell ref="I6:I10"/>
    <mergeCell ref="J6:J10"/>
    <mergeCell ref="J11:J13"/>
    <mergeCell ref="K6:K10"/>
    <mergeCell ref="K11:K13"/>
  </mergeCells>
  <pageMargins left="0.5" right="0.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Pipeline de Proyectos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 arturo</cp:lastModifiedBy>
  <dcterms:created xsi:type="dcterms:W3CDTF">2026-05-04T14:30:03Z</dcterms:created>
  <dcterms:modified xsi:type="dcterms:W3CDTF">2026-08-17T21:56:35Z</dcterms:modified>
</cp:coreProperties>
</file>